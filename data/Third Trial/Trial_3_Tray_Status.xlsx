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b65f9d3da51443a/Desktop/Internship/data/Third Trial/"/>
    </mc:Choice>
  </mc:AlternateContent>
  <xr:revisionPtr revIDLastSave="0" documentId="8_{6819FD8D-B52B-4551-ADFC-345C89AAAEF3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README" sheetId="1" r:id="rId1"/>
    <sheet name="Tray Status" sheetId="2" r:id="rId2"/>
    <sheet name="Daily Schedule" sheetId="3" r:id="rId3"/>
    <sheet name="Heat Timeline" sheetId="4" r:id="rId4"/>
    <sheet name="Moisture Timeline" sheetId="5" r:id="rId5"/>
    <sheet name="Summary" sheetId="6" r:id="rId6"/>
    <sheet name="Watering Schedule" sheetId="7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6" l="1"/>
  <c r="B17" i="6"/>
  <c r="D17" i="6" s="1"/>
  <c r="C16" i="6"/>
  <c r="B16" i="6"/>
  <c r="D16" i="6" s="1"/>
  <c r="C15" i="6"/>
  <c r="C18" i="6" s="1"/>
  <c r="B15" i="6"/>
  <c r="B18" i="6" s="1"/>
  <c r="B12" i="6"/>
  <c r="B11" i="6"/>
  <c r="B10" i="6"/>
  <c r="B9" i="6"/>
  <c r="B8" i="6"/>
  <c r="B7" i="6"/>
  <c r="B6" i="6"/>
  <c r="B5" i="6"/>
  <c r="B4" i="6"/>
  <c r="D15" i="6" l="1"/>
  <c r="D18" i="6" s="1"/>
</calcChain>
</file>

<file path=xl/sharedStrings.xml><?xml version="1.0" encoding="utf-8"?>
<sst xmlns="http://schemas.openxmlformats.org/spreadsheetml/2006/main" count="490" uniqueCount="164">
  <si>
    <t>Third Trial Tray Status Workbook</t>
  </si>
  <si>
    <t>Purpose</t>
  </si>
  <si>
    <t>This workbook converts the photographed tray labels and treatment notes into a structured Trial 3 tray-status file.</t>
  </si>
  <si>
    <t>Planting date</t>
  </si>
  <si>
    <t>First image date</t>
  </si>
  <si>
    <t>Last image date</t>
  </si>
  <si>
    <t>M</t>
  </si>
  <si>
    <t>Microbes</t>
  </si>
  <si>
    <t>N/M</t>
  </si>
  <si>
    <t>No Microbes</t>
  </si>
  <si>
    <t>In</t>
  </si>
  <si>
    <t>Inside greenhouse</t>
  </si>
  <si>
    <t>Out</t>
  </si>
  <si>
    <t>Outside in open</t>
  </si>
  <si>
    <t>Ideal</t>
  </si>
  <si>
    <t>Trays kept totally inside or totally outside, depending on label.</t>
  </si>
  <si>
    <t>Heat</t>
  </si>
  <si>
    <t>Heat-labelled trays were inside on Day 0, moved outside on Day 3, remained outside on Day 4-Day 5, then moved inside on Day 6 until final imaging.</t>
  </si>
  <si>
    <t>Moist / Moisture</t>
  </si>
  <si>
    <t>Only Moisture-labelled trays followed the special watering schedule: watered on Day 0, Day 3, and Day 6; not watered on Day 4-Day 5; then unwatered until the final Day 7 image set. Ideal and Heat trays were not part of this moisture schedule and were watered daily.</t>
  </si>
  <si>
    <t>Important day-label note</t>
  </si>
  <si>
    <t>Day labels follow the user's trial notes. No pictures were taken on 05.07.2026 and 06.07.2026.</t>
  </si>
  <si>
    <t>Watering correction</t>
  </si>
  <si>
    <t>Corrected note: only Moisture trays were watered on a schedule. All Ideal and Heat trays were watered daily throughout the trial, including no-photo days.</t>
  </si>
  <si>
    <t>Tray No</t>
  </si>
  <si>
    <t>Tray</t>
  </si>
  <si>
    <t>Label Code</t>
  </si>
  <si>
    <t>Microbe Status</t>
  </si>
  <si>
    <t>Treatment</t>
  </si>
  <si>
    <t>Label Environment</t>
  </si>
  <si>
    <t>Actual Environment Rule</t>
  </si>
  <si>
    <t>Environment Type</t>
  </si>
  <si>
    <t>Full Label Meaning</t>
  </si>
  <si>
    <t>Watering Rule</t>
  </si>
  <si>
    <t>Watering Notes</t>
  </si>
  <si>
    <t>Tray 1</t>
  </si>
  <si>
    <t>Inside</t>
  </si>
  <si>
    <t>Fixed</t>
  </si>
  <si>
    <t>No Microbes Ideal Inside</t>
  </si>
  <si>
    <t>Daily watering</t>
  </si>
  <si>
    <t>Ideal/Heat tray: watered daily throughout the trial. Heat treatment changed location, not watering frequency.</t>
  </si>
  <si>
    <t>Tray 2</t>
  </si>
  <si>
    <t>Outside</t>
  </si>
  <si>
    <t>No Microbes Ideal Outside</t>
  </si>
  <si>
    <t>Tray 3</t>
  </si>
  <si>
    <t>Moisture</t>
  </si>
  <si>
    <t>No Microbes Moisture Outside</t>
  </si>
  <si>
    <t>Scheduled watering</t>
  </si>
  <si>
    <t>Moisture treatment: watered only on Day 0, Day 3, and Day 6; unwatered on Day 4-Day 5 and until final Day 7 image.</t>
  </si>
  <si>
    <t>Tray 4</t>
  </si>
  <si>
    <t>Dynamic</t>
  </si>
  <si>
    <t>Inside on Day 0; Outside Day 3-Day 5; Inside from Day 6</t>
  </si>
  <si>
    <t>No Microbes Heat</t>
  </si>
  <si>
    <t>Tray 5</t>
  </si>
  <si>
    <t>Microbes Moisture Inside</t>
  </si>
  <si>
    <t>Tray 6</t>
  </si>
  <si>
    <t>Microbes Heat</t>
  </si>
  <si>
    <t>Tray 7</t>
  </si>
  <si>
    <t>Microbes Ideal Outside</t>
  </si>
  <si>
    <t>Tray 8</t>
  </si>
  <si>
    <t>Tray 9</t>
  </si>
  <si>
    <t>Microbes Ideal Inside</t>
  </si>
  <si>
    <t>Tray 10</t>
  </si>
  <si>
    <t>Microbes Moisture Outside</t>
  </si>
  <si>
    <t>Tray 11</t>
  </si>
  <si>
    <t>Tray 12</t>
  </si>
  <si>
    <t>No Microbes Moisture Inside</t>
  </si>
  <si>
    <t>Trial Day Label</t>
  </si>
  <si>
    <t>Date</t>
  </si>
  <si>
    <t>Picture Taken?</t>
  </si>
  <si>
    <t>Heat Tray Location</t>
  </si>
  <si>
    <t>Moisture Tray Watering</t>
  </si>
  <si>
    <t>Ideal + Heat Tray Watering</t>
  </si>
  <si>
    <t>Notes</t>
  </si>
  <si>
    <t>Day 0</t>
  </si>
  <si>
    <t>No</t>
  </si>
  <si>
    <t>Watered</t>
  </si>
  <si>
    <t>Seeds planted. Moisture trays watered as scheduled; Ideal and Heat trays also watered.</t>
  </si>
  <si>
    <t>Day 1</t>
  </si>
  <si>
    <t>Yes</t>
  </si>
  <si>
    <t>Not watered</t>
  </si>
  <si>
    <t>First picture set. Moisture trays were not watered; Ideal and Heat trays watered daily.</t>
  </si>
  <si>
    <t>Day 3</t>
  </si>
  <si>
    <t>Moved Outside</t>
  </si>
  <si>
    <t>Heat-labelled trays were taken outside. Moisture trays were watered again.</t>
  </si>
  <si>
    <t>Day 4</t>
  </si>
  <si>
    <t>Heat-labelled trays remained outside. Moisture trays were intentionally not watered.</t>
  </si>
  <si>
    <t>Day 5</t>
  </si>
  <si>
    <t>Day 6</t>
  </si>
  <si>
    <t>Moved Inside</t>
  </si>
  <si>
    <t>Heat-labelled trays were taken inside. Moisture trays were watered again.</t>
  </si>
  <si>
    <t>No photo day</t>
  </si>
  <si>
    <t>No pictures taken; most seeds were visually germinated. Ideal and Heat trays still watered daily.</t>
  </si>
  <si>
    <t>No pictures taken; trays remained under post-Day-6 conditions. Ideal and Heat trays still watered daily.</t>
  </si>
  <si>
    <t>Day 7</t>
  </si>
  <si>
    <t>Final picture set after two unwatered days for Moisture trays.</t>
  </si>
  <si>
    <t>Tray 4 N/M Heat</t>
  </si>
  <si>
    <t>Tray 6 M Heat</t>
  </si>
  <si>
    <t>Tray 8 M Heat</t>
  </si>
  <si>
    <t>Tray 11 N/M Heat</t>
  </si>
  <si>
    <t>Watering</t>
  </si>
  <si>
    <t>Action / Note</t>
  </si>
  <si>
    <t>Initial inside placement; Heat trays watered daily.</t>
  </si>
  <si>
    <t>First picture set; Heat trays still inside.</t>
  </si>
  <si>
    <t>Moved outside.</t>
  </si>
  <si>
    <t>Remained outside.</t>
  </si>
  <si>
    <t>Moved inside.</t>
  </si>
  <si>
    <t>No pictures taken; Heat trays still watered daily.</t>
  </si>
  <si>
    <t>Final image while inside.</t>
  </si>
  <si>
    <t>Tray 3 N/M Moist Out</t>
  </si>
  <si>
    <t>Tray 5 M Moist In</t>
  </si>
  <si>
    <t>Tray 10 M Moist Out</t>
  </si>
  <si>
    <t>Tray 12 N/M Moist In</t>
  </si>
  <si>
    <t>Seeds planted. Moisture trays watered as part of the moisture-treatment schedule.</t>
  </si>
  <si>
    <t>First picture set. Moisture trays were not watered on this day.</t>
  </si>
  <si>
    <t>Moisture trays watered again.</t>
  </si>
  <si>
    <t>Moisture trays intentionally not watered.</t>
  </si>
  <si>
    <t>No pictures taken; moisture trays remained unwatered.</t>
  </si>
  <si>
    <t>Final picture set after two unwatered days.</t>
  </si>
  <si>
    <t>Third Trial Treatment Summary</t>
  </si>
  <si>
    <t>Metric</t>
  </si>
  <si>
    <t>Count</t>
  </si>
  <si>
    <t>Total trays</t>
  </si>
  <si>
    <t>Microbes trays</t>
  </si>
  <si>
    <t>No Microbes trays</t>
  </si>
  <si>
    <t>Ideal trays</t>
  </si>
  <si>
    <t>Heat trays</t>
  </si>
  <si>
    <t>Moisture trays</t>
  </si>
  <si>
    <t>Fixed Inside trays</t>
  </si>
  <si>
    <t>Fixed Outside trays</t>
  </si>
  <si>
    <t>Dynamic environment trays</t>
  </si>
  <si>
    <t>Treatment x Microbe Status</t>
  </si>
  <si>
    <t>Total</t>
  </si>
  <si>
    <t>Watering Summary</t>
  </si>
  <si>
    <t>Watering Group</t>
  </si>
  <si>
    <t>Trays</t>
  </si>
  <si>
    <t>Rule</t>
  </si>
  <si>
    <t>Moisture scheduled watering</t>
  </si>
  <si>
    <t>3, 5, 10, 12</t>
  </si>
  <si>
    <t>Watered Day 0, Day 3, Day 6 only</t>
  </si>
  <si>
    <t>Daily watering - Ideal</t>
  </si>
  <si>
    <t>1, 2, 7, 9</t>
  </si>
  <si>
    <t>Watered daily</t>
  </si>
  <si>
    <t>Daily watering - Heat</t>
  </si>
  <si>
    <t>4, 6, 8, 11</t>
  </si>
  <si>
    <t>Third Trial Watering Schedule Correction</t>
  </si>
  <si>
    <t>Moisture Trays Watered?</t>
  </si>
  <si>
    <t>Moisture Tray Action</t>
  </si>
  <si>
    <t>Ideal Trays Watered?</t>
  </si>
  <si>
    <t>Heat Trays Watered?</t>
  </si>
  <si>
    <t>Planting day. All trays received water, but only Moisture trays follow the scheduled moisture treatment.</t>
  </si>
  <si>
    <t>First image day. Ideal and Heat trays watered daily.</t>
  </si>
  <si>
    <t>Moisture trays watered; Heat trays moved outside.</t>
  </si>
  <si>
    <t>Moisture trays intentionally unwatered.</t>
  </si>
  <si>
    <t>Moisture trays watered; Heat trays moved inside.</t>
  </si>
  <si>
    <t>No imaging. Ideal and Heat trays still watered daily.</t>
  </si>
  <si>
    <t>Final imaging day. Moisture trays had been unwatered after Day 6.</t>
  </si>
  <si>
    <t>Tray 3, Tray 5, Tray 10, Tray 12</t>
  </si>
  <si>
    <t>Scheduled watering only</t>
  </si>
  <si>
    <t>Watered on Day 0, Day 3, and Day 6. Not watered on the other days.</t>
  </si>
  <si>
    <t>Tray 1, Tray 2, Tray 7, Tray 9</t>
  </si>
  <si>
    <t>Watered daily throughout the trial.</t>
  </si>
  <si>
    <t>Tray 4, Tray 6, Tray 8, Tray 11</t>
  </si>
  <si>
    <t>Watered daily throughout the trial. Heat treatment is represented by location movement, not watering restriction.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</si>
</sst>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5">
    <dxf>
      <fill>
        <patternFill>
          <bgColor rgb="FFEDE9FE"/>
        </patternFill>
      </fill>
    </dxf>
    <dxf>
      <fill>
        <patternFill>
          <bgColor rgb="FFCCFBF1"/>
        </patternFill>
      </fill>
    </dxf>
    <dxf>
      <fill>
        <patternFill>
          <bgColor rgb="FFFED7AA"/>
        </patternFill>
      </fill>
    </dxf>
    <dxf>
      <fill>
        <patternFill>
          <bgColor rgb="FFE0F2FE"/>
        </patternFill>
      </fill>
    </dxf>
    <dxf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ial3TrayStatus" displayName="Trial3TrayStatus" ref="A1:I13">
  <tableColumns count="9">
    <tableColumn id="1" xr3:uid="{00000000-0010-0000-0000-000001000000}" name="Tray No"/>
    <tableColumn id="2" xr3:uid="{00000000-0010-0000-0000-000002000000}" name="Tray"/>
    <tableColumn id="3" xr3:uid="{00000000-0010-0000-0000-000003000000}" name="Label Code"/>
    <tableColumn id="4" xr3:uid="{00000000-0010-0000-0000-000004000000}" name="Microbe Status"/>
    <tableColumn id="5" xr3:uid="{00000000-0010-0000-0000-000005000000}" name="Treatment"/>
    <tableColumn id="6" xr3:uid="{00000000-0010-0000-0000-000006000000}" name="Label Environment"/>
    <tableColumn id="7" xr3:uid="{00000000-0010-0000-0000-000007000000}" name="Actual Environment Rule"/>
    <tableColumn id="8" xr3:uid="{00000000-0010-0000-0000-000008000000}" name="Environment Type"/>
    <tableColumn id="9" xr3:uid="{00000000-0010-0000-0000-000009000000}" name="Full Label 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ial3DailySchedule" displayName="Trial3DailySchedule" ref="A1:F10">
  <tableColumns count="6">
    <tableColumn id="1" xr3:uid="{00000000-0010-0000-0100-000001000000}" name="Trial Day Label"/>
    <tableColumn id="2" xr3:uid="{00000000-0010-0000-0100-000002000000}" name="Date"/>
    <tableColumn id="3" xr3:uid="{00000000-0010-0000-0100-000003000000}" name="Picture Taken?"/>
    <tableColumn id="4" xr3:uid="{00000000-0010-0000-0100-000004000000}" name="Heat Tray Location"/>
    <tableColumn id="5" xr3:uid="{00000000-0010-0000-0100-000005000000}" name="Moisture Action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ial3HeatTimeline" displayName="Trial3HeatTimeline" ref="A1:H10">
  <tableColumns count="8">
    <tableColumn id="1" xr3:uid="{00000000-0010-0000-0200-000001000000}" name="Date"/>
    <tableColumn id="2" xr3:uid="{00000000-0010-0000-0200-000002000000}" name="Trial Day Label"/>
    <tableColumn id="3" xr3:uid="{00000000-0010-0000-0200-000003000000}" name="Picture Taken?"/>
    <tableColumn id="4" xr3:uid="{00000000-0010-0000-0200-000004000000}" name="Tray 4 N/M Heat"/>
    <tableColumn id="5" xr3:uid="{00000000-0010-0000-0200-000005000000}" name="Tray 6 M Heat"/>
    <tableColumn id="6" xr3:uid="{00000000-0010-0000-0200-000006000000}" name="Tray 8 M Heat"/>
    <tableColumn id="7" xr3:uid="{00000000-0010-0000-0200-000007000000}" name="Tray 11 N/M Heat"/>
    <tableColumn id="8" xr3:uid="{00000000-0010-0000-0200-000008000000}" name="Action /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rial3MoistureTimeline" displayName="Trial3MoistureTimeline" ref="A1:H10">
  <tableColumns count="8">
    <tableColumn id="1" xr3:uid="{00000000-0010-0000-0300-000001000000}" name="Date"/>
    <tableColumn id="2" xr3:uid="{00000000-0010-0000-0300-000002000000}" name="Trial Day Label"/>
    <tableColumn id="3" xr3:uid="{00000000-0010-0000-0300-000003000000}" name="Picture Taken?"/>
    <tableColumn id="4" xr3:uid="{00000000-0010-0000-0300-000004000000}" name="Tray 3 N/M Moist Out"/>
    <tableColumn id="5" xr3:uid="{00000000-0010-0000-0300-000005000000}" name="Tray 5 M Moist In"/>
    <tableColumn id="6" xr3:uid="{00000000-0010-0000-0300-000006000000}" name="Tray 10 M Moist Out"/>
    <tableColumn id="7" xr3:uid="{00000000-0010-0000-0300-000007000000}" name="Tray 12 N/M Moist In"/>
    <tableColumn id="8" xr3:uid="{00000000-0010-0000-0300-000008000000}" name="Action /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sqref="A1:B1"/>
    </sheetView>
  </sheetViews>
  <sheetFormatPr defaultRowHeight="13.8"/>
  <cols>
    <col min="1" max="1" width="36.5" customWidth="1"/>
    <col min="2" max="2" width="90" customWidth="1"/>
  </cols>
  <sheetData>
    <row r="1" spans="1:2" ht="21">
      <c r="A1" s="10" t="s">
        <v>0</v>
      </c>
      <c r="B1" s="11"/>
    </row>
    <row r="3" spans="1:2" ht="27.6">
      <c r="A3" s="1" t="s">
        <v>1</v>
      </c>
      <c r="B3" s="2" t="s">
        <v>2</v>
      </c>
    </row>
    <row r="4" spans="1:2">
      <c r="A4" s="1" t="s">
        <v>3</v>
      </c>
      <c r="B4" s="3">
        <v>46200</v>
      </c>
    </row>
    <row r="5" spans="1:2">
      <c r="A5" s="1" t="s">
        <v>4</v>
      </c>
      <c r="B5" s="3">
        <v>46203</v>
      </c>
    </row>
    <row r="6" spans="1:2">
      <c r="A6" s="1" t="s">
        <v>5</v>
      </c>
      <c r="B6" s="3">
        <v>46210</v>
      </c>
    </row>
    <row r="7" spans="1:2">
      <c r="A7" s="1" t="s">
        <v>6</v>
      </c>
      <c r="B7" s="2" t="s">
        <v>7</v>
      </c>
    </row>
    <row r="8" spans="1:2">
      <c r="A8" s="1" t="s">
        <v>8</v>
      </c>
      <c r="B8" s="2" t="s">
        <v>9</v>
      </c>
    </row>
    <row r="9" spans="1:2">
      <c r="A9" s="1" t="s">
        <v>10</v>
      </c>
      <c r="B9" s="2" t="s">
        <v>11</v>
      </c>
    </row>
    <row r="10" spans="1:2">
      <c r="A10" s="1" t="s">
        <v>12</v>
      </c>
      <c r="B10" s="2" t="s">
        <v>13</v>
      </c>
    </row>
    <row r="11" spans="1:2">
      <c r="A11" s="1" t="s">
        <v>14</v>
      </c>
      <c r="B11" s="2" t="s">
        <v>15</v>
      </c>
    </row>
    <row r="12" spans="1:2" ht="27.6">
      <c r="A12" s="1" t="s">
        <v>16</v>
      </c>
      <c r="B12" s="2" t="s">
        <v>17</v>
      </c>
    </row>
    <row r="13" spans="1:2" ht="41.4">
      <c r="A13" s="6" t="s">
        <v>18</v>
      </c>
      <c r="B13" s="2" t="s">
        <v>19</v>
      </c>
    </row>
    <row r="14" spans="1:2">
      <c r="A14" s="6" t="s">
        <v>20</v>
      </c>
      <c r="B14" s="2" t="s">
        <v>21</v>
      </c>
    </row>
    <row r="15" spans="1:2" ht="27.6">
      <c r="A15" s="7" t="s">
        <v>22</v>
      </c>
      <c r="B15" s="2" t="s">
        <v>23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/>
  </sheetViews>
  <sheetFormatPr defaultRowHeight="13.8"/>
  <cols>
    <col min="1" max="1" width="10" customWidth="1"/>
    <col min="2" max="3" width="12" customWidth="1"/>
    <col min="4" max="4" width="16" customWidth="1"/>
    <col min="5" max="5" width="14" customWidth="1"/>
    <col min="6" max="6" width="18" customWidth="1"/>
    <col min="7" max="7" width="42" customWidth="1"/>
    <col min="8" max="8" width="15" customWidth="1"/>
    <col min="9" max="9" width="30" customWidth="1"/>
    <col min="10" max="10" width="15.19921875" customWidth="1"/>
    <col min="11" max="11" width="55" customWidth="1"/>
  </cols>
  <sheetData>
    <row r="1" spans="1:11" ht="27.6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8" t="s">
        <v>33</v>
      </c>
      <c r="K1" s="8" t="s">
        <v>34</v>
      </c>
    </row>
    <row r="2" spans="1:11" ht="27.6">
      <c r="A2" s="2">
        <v>1</v>
      </c>
      <c r="B2" s="2" t="s">
        <v>35</v>
      </c>
      <c r="C2" s="2" t="s">
        <v>8</v>
      </c>
      <c r="D2" s="2" t="s">
        <v>9</v>
      </c>
      <c r="E2" s="2" t="s">
        <v>14</v>
      </c>
      <c r="F2" s="2" t="s">
        <v>36</v>
      </c>
      <c r="G2" s="2" t="s">
        <v>11</v>
      </c>
      <c r="H2" s="2" t="s">
        <v>37</v>
      </c>
      <c r="I2" s="2" t="s">
        <v>38</v>
      </c>
      <c r="J2" s="2" t="s">
        <v>39</v>
      </c>
      <c r="K2" s="2" t="s">
        <v>40</v>
      </c>
    </row>
    <row r="3" spans="1:11" ht="27.6">
      <c r="A3" s="2">
        <v>2</v>
      </c>
      <c r="B3" s="2" t="s">
        <v>41</v>
      </c>
      <c r="C3" s="2" t="s">
        <v>8</v>
      </c>
      <c r="D3" s="2" t="s">
        <v>9</v>
      </c>
      <c r="E3" s="2" t="s">
        <v>14</v>
      </c>
      <c r="F3" s="2" t="s">
        <v>42</v>
      </c>
      <c r="G3" s="2" t="s">
        <v>13</v>
      </c>
      <c r="H3" s="2" t="s">
        <v>37</v>
      </c>
      <c r="I3" s="2" t="s">
        <v>43</v>
      </c>
      <c r="J3" s="2" t="s">
        <v>39</v>
      </c>
      <c r="K3" s="2" t="s">
        <v>40</v>
      </c>
    </row>
    <row r="4" spans="1:11" ht="27.6">
      <c r="A4" s="2">
        <v>3</v>
      </c>
      <c r="B4" s="2" t="s">
        <v>44</v>
      </c>
      <c r="C4" s="2" t="s">
        <v>8</v>
      </c>
      <c r="D4" s="2" t="s">
        <v>9</v>
      </c>
      <c r="E4" s="2" t="s">
        <v>45</v>
      </c>
      <c r="F4" s="2" t="s">
        <v>42</v>
      </c>
      <c r="G4" s="2" t="s">
        <v>13</v>
      </c>
      <c r="H4" s="2" t="s">
        <v>37</v>
      </c>
      <c r="I4" s="2" t="s">
        <v>46</v>
      </c>
      <c r="J4" s="2" t="s">
        <v>47</v>
      </c>
      <c r="K4" s="2" t="s">
        <v>48</v>
      </c>
    </row>
    <row r="5" spans="1:11" ht="27.6">
      <c r="A5" s="2">
        <v>4</v>
      </c>
      <c r="B5" s="2" t="s">
        <v>49</v>
      </c>
      <c r="C5" s="2" t="s">
        <v>8</v>
      </c>
      <c r="D5" s="2" t="s">
        <v>9</v>
      </c>
      <c r="E5" s="2" t="s">
        <v>16</v>
      </c>
      <c r="F5" s="2" t="s">
        <v>50</v>
      </c>
      <c r="G5" s="2" t="s">
        <v>51</v>
      </c>
      <c r="H5" s="2" t="s">
        <v>50</v>
      </c>
      <c r="I5" s="2" t="s">
        <v>52</v>
      </c>
      <c r="J5" s="2" t="s">
        <v>39</v>
      </c>
      <c r="K5" s="2" t="s">
        <v>40</v>
      </c>
    </row>
    <row r="6" spans="1:11" ht="27.6">
      <c r="A6" s="2">
        <v>5</v>
      </c>
      <c r="B6" s="2" t="s">
        <v>53</v>
      </c>
      <c r="C6" s="2" t="s">
        <v>6</v>
      </c>
      <c r="D6" s="2" t="s">
        <v>7</v>
      </c>
      <c r="E6" s="2" t="s">
        <v>45</v>
      </c>
      <c r="F6" s="2" t="s">
        <v>36</v>
      </c>
      <c r="G6" s="2" t="s">
        <v>11</v>
      </c>
      <c r="H6" s="2" t="s">
        <v>37</v>
      </c>
      <c r="I6" s="2" t="s">
        <v>54</v>
      </c>
      <c r="J6" s="2" t="s">
        <v>47</v>
      </c>
      <c r="K6" s="2" t="s">
        <v>48</v>
      </c>
    </row>
    <row r="7" spans="1:11" ht="27.6">
      <c r="A7" s="2">
        <v>6</v>
      </c>
      <c r="B7" s="2" t="s">
        <v>55</v>
      </c>
      <c r="C7" s="2" t="s">
        <v>6</v>
      </c>
      <c r="D7" s="2" t="s">
        <v>7</v>
      </c>
      <c r="E7" s="2" t="s">
        <v>16</v>
      </c>
      <c r="F7" s="2" t="s">
        <v>50</v>
      </c>
      <c r="G7" s="2" t="s">
        <v>51</v>
      </c>
      <c r="H7" s="2" t="s">
        <v>50</v>
      </c>
      <c r="I7" s="2" t="s">
        <v>56</v>
      </c>
      <c r="J7" s="2" t="s">
        <v>39</v>
      </c>
      <c r="K7" s="2" t="s">
        <v>40</v>
      </c>
    </row>
    <row r="8" spans="1:11" ht="27.6">
      <c r="A8" s="2">
        <v>7</v>
      </c>
      <c r="B8" s="2" t="s">
        <v>57</v>
      </c>
      <c r="C8" s="2" t="s">
        <v>6</v>
      </c>
      <c r="D8" s="2" t="s">
        <v>7</v>
      </c>
      <c r="E8" s="2" t="s">
        <v>14</v>
      </c>
      <c r="F8" s="2" t="s">
        <v>42</v>
      </c>
      <c r="G8" s="2" t="s">
        <v>13</v>
      </c>
      <c r="H8" s="2" t="s">
        <v>37</v>
      </c>
      <c r="I8" s="2" t="s">
        <v>58</v>
      </c>
      <c r="J8" s="2" t="s">
        <v>39</v>
      </c>
      <c r="K8" s="2" t="s">
        <v>40</v>
      </c>
    </row>
    <row r="9" spans="1:11" ht="27.6">
      <c r="A9" s="2">
        <v>8</v>
      </c>
      <c r="B9" s="2" t="s">
        <v>59</v>
      </c>
      <c r="C9" s="2" t="s">
        <v>6</v>
      </c>
      <c r="D9" s="2" t="s">
        <v>7</v>
      </c>
      <c r="E9" s="2" t="s">
        <v>16</v>
      </c>
      <c r="F9" s="2" t="s">
        <v>50</v>
      </c>
      <c r="G9" s="2" t="s">
        <v>51</v>
      </c>
      <c r="H9" s="2" t="s">
        <v>50</v>
      </c>
      <c r="I9" s="2" t="s">
        <v>56</v>
      </c>
      <c r="J9" s="2" t="s">
        <v>39</v>
      </c>
      <c r="K9" s="2" t="s">
        <v>40</v>
      </c>
    </row>
    <row r="10" spans="1:11" ht="27.6">
      <c r="A10" s="2">
        <v>9</v>
      </c>
      <c r="B10" s="2" t="s">
        <v>60</v>
      </c>
      <c r="C10" s="2" t="s">
        <v>6</v>
      </c>
      <c r="D10" s="2" t="s">
        <v>7</v>
      </c>
      <c r="E10" s="2" t="s">
        <v>14</v>
      </c>
      <c r="F10" s="2" t="s">
        <v>36</v>
      </c>
      <c r="G10" s="2" t="s">
        <v>11</v>
      </c>
      <c r="H10" s="2" t="s">
        <v>37</v>
      </c>
      <c r="I10" s="2" t="s">
        <v>61</v>
      </c>
      <c r="J10" s="2" t="s">
        <v>39</v>
      </c>
      <c r="K10" s="2" t="s">
        <v>40</v>
      </c>
    </row>
    <row r="11" spans="1:11" ht="27.6">
      <c r="A11" s="2">
        <v>10</v>
      </c>
      <c r="B11" s="2" t="s">
        <v>62</v>
      </c>
      <c r="C11" s="2" t="s">
        <v>6</v>
      </c>
      <c r="D11" s="2" t="s">
        <v>7</v>
      </c>
      <c r="E11" s="2" t="s">
        <v>45</v>
      </c>
      <c r="F11" s="2" t="s">
        <v>42</v>
      </c>
      <c r="G11" s="2" t="s">
        <v>13</v>
      </c>
      <c r="H11" s="2" t="s">
        <v>37</v>
      </c>
      <c r="I11" s="2" t="s">
        <v>63</v>
      </c>
      <c r="J11" s="2" t="s">
        <v>47</v>
      </c>
      <c r="K11" s="2" t="s">
        <v>48</v>
      </c>
    </row>
    <row r="12" spans="1:11" ht="27.6">
      <c r="A12" s="2">
        <v>11</v>
      </c>
      <c r="B12" s="2" t="s">
        <v>64</v>
      </c>
      <c r="C12" s="2" t="s">
        <v>8</v>
      </c>
      <c r="D12" s="2" t="s">
        <v>9</v>
      </c>
      <c r="E12" s="2" t="s">
        <v>16</v>
      </c>
      <c r="F12" s="2" t="s">
        <v>50</v>
      </c>
      <c r="G12" s="2" t="s">
        <v>51</v>
      </c>
      <c r="H12" s="2" t="s">
        <v>50</v>
      </c>
      <c r="I12" s="2" t="s">
        <v>52</v>
      </c>
      <c r="J12" s="2" t="s">
        <v>39</v>
      </c>
      <c r="K12" s="2" t="s">
        <v>40</v>
      </c>
    </row>
    <row r="13" spans="1:11" ht="27.6">
      <c r="A13" s="2">
        <v>12</v>
      </c>
      <c r="B13" s="2" t="s">
        <v>65</v>
      </c>
      <c r="C13" s="2" t="s">
        <v>8</v>
      </c>
      <c r="D13" s="2" t="s">
        <v>9</v>
      </c>
      <c r="E13" s="2" t="s">
        <v>45</v>
      </c>
      <c r="F13" s="2" t="s">
        <v>36</v>
      </c>
      <c r="G13" s="2" t="s">
        <v>11</v>
      </c>
      <c r="H13" s="2" t="s">
        <v>37</v>
      </c>
      <c r="I13" s="2" t="s">
        <v>66</v>
      </c>
      <c r="J13" s="2" t="s">
        <v>47</v>
      </c>
      <c r="K13" s="2" t="s">
        <v>48</v>
      </c>
    </row>
  </sheetData>
  <conditionalFormatting sqref="D2:D13">
    <cfRule type="expression" dxfId="4" priority="1">
      <formula>D2="Microbes"</formula>
    </cfRule>
    <cfRule type="expression" dxfId="3" priority="2">
      <formula>D2="No Microbes"</formula>
    </cfRule>
  </conditionalFormatting>
  <conditionalFormatting sqref="E2:E13">
    <cfRule type="expression" dxfId="2" priority="3">
      <formula>E2="Heat"</formula>
    </cfRule>
    <cfRule type="expression" dxfId="1" priority="4">
      <formula>E2="Moisture"</formula>
    </cfRule>
    <cfRule type="expression" dxfId="0" priority="5">
      <formula>E2="Ideal"</formula>
    </cfRule>
  </conditionalFormatting>
  <dataValidations count="4">
    <dataValidation type="list" sqref="D2:D13" xr:uid="{00000000-0002-0000-0100-000000000000}">
      <formula1>"Microbes,No Microbes"</formula1>
    </dataValidation>
    <dataValidation type="list" sqref="E2:E13" xr:uid="{00000000-0002-0000-0100-000001000000}">
      <formula1>"Ideal,Heat,Moisture"</formula1>
    </dataValidation>
    <dataValidation type="list" sqref="F2:F13" xr:uid="{00000000-0002-0000-0100-000002000000}">
      <formula1>"Inside,Outside,Dynamic"</formula1>
    </dataValidation>
    <dataValidation type="list" sqref="H2:H13" xr:uid="{00000000-0002-0000-0100-000003000000}">
      <formula1>"Fixed,Dynamic"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workbookViewId="0"/>
  </sheetViews>
  <sheetFormatPr defaultRowHeight="13.8"/>
  <cols>
    <col min="1" max="1" width="14.09765625" customWidth="1"/>
    <col min="2" max="2" width="6.59765625" customWidth="1"/>
    <col min="3" max="3" width="14.09765625" customWidth="1"/>
    <col min="4" max="4" width="17.09765625" customWidth="1"/>
    <col min="5" max="5" width="20.8984375" customWidth="1"/>
    <col min="6" max="6" width="23.09765625" customWidth="1"/>
    <col min="7" max="7" width="70" customWidth="1"/>
  </cols>
  <sheetData>
    <row r="1" spans="1:7" ht="27.6">
      <c r="A1" s="8" t="s">
        <v>67</v>
      </c>
      <c r="B1" s="8" t="s">
        <v>68</v>
      </c>
      <c r="C1" s="8" t="s">
        <v>69</v>
      </c>
      <c r="D1" s="8" t="s">
        <v>70</v>
      </c>
      <c r="E1" s="8" t="s">
        <v>71</v>
      </c>
      <c r="F1" s="8" t="s">
        <v>72</v>
      </c>
      <c r="G1" s="8" t="s">
        <v>73</v>
      </c>
    </row>
    <row r="2" spans="1:7" ht="27.6">
      <c r="A2" s="2" t="s">
        <v>74</v>
      </c>
      <c r="B2" s="3">
        <v>46200</v>
      </c>
      <c r="C2" s="2" t="s">
        <v>75</v>
      </c>
      <c r="D2" s="2" t="s">
        <v>36</v>
      </c>
      <c r="E2" s="2" t="s">
        <v>76</v>
      </c>
      <c r="F2" s="2" t="s">
        <v>76</v>
      </c>
      <c r="G2" s="2" t="s">
        <v>77</v>
      </c>
    </row>
    <row r="3" spans="1:7">
      <c r="A3" s="2" t="s">
        <v>78</v>
      </c>
      <c r="B3" s="3">
        <v>46203</v>
      </c>
      <c r="C3" s="2" t="s">
        <v>79</v>
      </c>
      <c r="D3" s="2" t="s">
        <v>36</v>
      </c>
      <c r="E3" s="2" t="s">
        <v>80</v>
      </c>
      <c r="F3" s="2" t="s">
        <v>76</v>
      </c>
      <c r="G3" s="2" t="s">
        <v>81</v>
      </c>
    </row>
    <row r="4" spans="1:7">
      <c r="A4" s="2" t="s">
        <v>82</v>
      </c>
      <c r="B4" s="3">
        <v>46204</v>
      </c>
      <c r="C4" s="2" t="s">
        <v>79</v>
      </c>
      <c r="D4" s="2" t="s">
        <v>83</v>
      </c>
      <c r="E4" s="2" t="s">
        <v>76</v>
      </c>
      <c r="F4" s="2" t="s">
        <v>76</v>
      </c>
      <c r="G4" s="2" t="s">
        <v>84</v>
      </c>
    </row>
    <row r="5" spans="1:7">
      <c r="A5" s="2" t="s">
        <v>85</v>
      </c>
      <c r="B5" s="3">
        <v>46205</v>
      </c>
      <c r="C5" s="2" t="s">
        <v>79</v>
      </c>
      <c r="D5" s="2" t="s">
        <v>42</v>
      </c>
      <c r="E5" s="2" t="s">
        <v>80</v>
      </c>
      <c r="F5" s="2" t="s">
        <v>76</v>
      </c>
      <c r="G5" s="2" t="s">
        <v>86</v>
      </c>
    </row>
    <row r="6" spans="1:7">
      <c r="A6" s="2" t="s">
        <v>87</v>
      </c>
      <c r="B6" s="3">
        <v>46206</v>
      </c>
      <c r="C6" s="2" t="s">
        <v>79</v>
      </c>
      <c r="D6" s="2" t="s">
        <v>42</v>
      </c>
      <c r="E6" s="2" t="s">
        <v>80</v>
      </c>
      <c r="F6" s="2" t="s">
        <v>76</v>
      </c>
      <c r="G6" s="2" t="s">
        <v>86</v>
      </c>
    </row>
    <row r="7" spans="1:7">
      <c r="A7" s="2" t="s">
        <v>88</v>
      </c>
      <c r="B7" s="3">
        <v>46207</v>
      </c>
      <c r="C7" s="2" t="s">
        <v>79</v>
      </c>
      <c r="D7" s="2" t="s">
        <v>89</v>
      </c>
      <c r="E7" s="2" t="s">
        <v>76</v>
      </c>
      <c r="F7" s="2" t="s">
        <v>76</v>
      </c>
      <c r="G7" s="2" t="s">
        <v>90</v>
      </c>
    </row>
    <row r="8" spans="1:7" ht="27.6">
      <c r="A8" s="2" t="s">
        <v>91</v>
      </c>
      <c r="B8" s="3">
        <v>46208</v>
      </c>
      <c r="C8" s="2" t="s">
        <v>75</v>
      </c>
      <c r="D8" s="2" t="s">
        <v>36</v>
      </c>
      <c r="E8" s="2" t="s">
        <v>80</v>
      </c>
      <c r="F8" s="2" t="s">
        <v>76</v>
      </c>
      <c r="G8" s="2" t="s">
        <v>92</v>
      </c>
    </row>
    <row r="9" spans="1:7" ht="27.6">
      <c r="A9" s="2" t="s">
        <v>91</v>
      </c>
      <c r="B9" s="3">
        <v>46209</v>
      </c>
      <c r="C9" s="2" t="s">
        <v>75</v>
      </c>
      <c r="D9" s="2" t="s">
        <v>36</v>
      </c>
      <c r="E9" s="2" t="s">
        <v>80</v>
      </c>
      <c r="F9" s="2" t="s">
        <v>76</v>
      </c>
      <c r="G9" s="2" t="s">
        <v>93</v>
      </c>
    </row>
    <row r="10" spans="1:7">
      <c r="A10" s="2" t="s">
        <v>94</v>
      </c>
      <c r="B10" s="3">
        <v>46210</v>
      </c>
      <c r="C10" s="2" t="s">
        <v>79</v>
      </c>
      <c r="D10" s="2" t="s">
        <v>36</v>
      </c>
      <c r="E10" s="2" t="s">
        <v>80</v>
      </c>
      <c r="F10" s="2" t="s">
        <v>76</v>
      </c>
      <c r="G10" s="2" t="s">
        <v>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8"/>
  <cols>
    <col min="1" max="1" width="6.59765625" customWidth="1"/>
    <col min="2" max="3" width="14.09765625" customWidth="1"/>
    <col min="4" max="4" width="15.59765625" customWidth="1"/>
    <col min="5" max="6" width="13.59765625" customWidth="1"/>
    <col min="7" max="7" width="16.5" customWidth="1"/>
    <col min="8" max="8" width="10" customWidth="1"/>
    <col min="9" max="9" width="55" customWidth="1"/>
  </cols>
  <sheetData>
    <row r="1" spans="1:9">
      <c r="A1" s="8" t="s">
        <v>68</v>
      </c>
      <c r="B1" s="8" t="s">
        <v>67</v>
      </c>
      <c r="C1" s="8" t="s">
        <v>69</v>
      </c>
      <c r="D1" s="8" t="s">
        <v>96</v>
      </c>
      <c r="E1" s="8" t="s">
        <v>97</v>
      </c>
      <c r="F1" s="8" t="s">
        <v>98</v>
      </c>
      <c r="G1" s="8" t="s">
        <v>99</v>
      </c>
      <c r="H1" s="8" t="s">
        <v>100</v>
      </c>
      <c r="I1" s="8" t="s">
        <v>101</v>
      </c>
    </row>
    <row r="2" spans="1:9">
      <c r="A2" s="3">
        <v>46200</v>
      </c>
      <c r="B2" s="2" t="s">
        <v>74</v>
      </c>
      <c r="C2" s="2" t="s">
        <v>75</v>
      </c>
      <c r="D2" s="2" t="s">
        <v>36</v>
      </c>
      <c r="E2" s="2" t="s">
        <v>36</v>
      </c>
      <c r="F2" s="2" t="s">
        <v>36</v>
      </c>
      <c r="G2" s="2" t="s">
        <v>36</v>
      </c>
      <c r="H2" s="2" t="s">
        <v>76</v>
      </c>
      <c r="I2" s="2" t="s">
        <v>102</v>
      </c>
    </row>
    <row r="3" spans="1:9">
      <c r="A3" s="3">
        <v>46203</v>
      </c>
      <c r="B3" s="2" t="s">
        <v>78</v>
      </c>
      <c r="C3" s="2" t="s">
        <v>79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76</v>
      </c>
      <c r="I3" s="2" t="s">
        <v>103</v>
      </c>
    </row>
    <row r="4" spans="1:9">
      <c r="A4" s="3">
        <v>46204</v>
      </c>
      <c r="B4" s="2" t="s">
        <v>82</v>
      </c>
      <c r="C4" s="2" t="s">
        <v>79</v>
      </c>
      <c r="D4" s="2" t="s">
        <v>83</v>
      </c>
      <c r="E4" s="2" t="s">
        <v>83</v>
      </c>
      <c r="F4" s="2" t="s">
        <v>83</v>
      </c>
      <c r="G4" s="2" t="s">
        <v>83</v>
      </c>
      <c r="H4" s="2" t="s">
        <v>76</v>
      </c>
      <c r="I4" s="2" t="s">
        <v>104</v>
      </c>
    </row>
    <row r="5" spans="1:9">
      <c r="A5" s="3">
        <v>46205</v>
      </c>
      <c r="B5" s="2" t="s">
        <v>85</v>
      </c>
      <c r="C5" s="2" t="s">
        <v>79</v>
      </c>
      <c r="D5" s="2" t="s">
        <v>42</v>
      </c>
      <c r="E5" s="2" t="s">
        <v>42</v>
      </c>
      <c r="F5" s="2" t="s">
        <v>42</v>
      </c>
      <c r="G5" s="2" t="s">
        <v>42</v>
      </c>
      <c r="H5" s="2" t="s">
        <v>76</v>
      </c>
      <c r="I5" s="2" t="s">
        <v>105</v>
      </c>
    </row>
    <row r="6" spans="1:9">
      <c r="A6" s="3">
        <v>46206</v>
      </c>
      <c r="B6" s="2" t="s">
        <v>87</v>
      </c>
      <c r="C6" s="2" t="s">
        <v>79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76</v>
      </c>
      <c r="I6" s="2" t="s">
        <v>105</v>
      </c>
    </row>
    <row r="7" spans="1:9">
      <c r="A7" s="3">
        <v>46207</v>
      </c>
      <c r="B7" s="2" t="s">
        <v>88</v>
      </c>
      <c r="C7" s="2" t="s">
        <v>79</v>
      </c>
      <c r="D7" s="2" t="s">
        <v>89</v>
      </c>
      <c r="E7" s="2" t="s">
        <v>89</v>
      </c>
      <c r="F7" s="2" t="s">
        <v>89</v>
      </c>
      <c r="G7" s="2" t="s">
        <v>89</v>
      </c>
      <c r="H7" s="2" t="s">
        <v>76</v>
      </c>
      <c r="I7" s="2" t="s">
        <v>106</v>
      </c>
    </row>
    <row r="8" spans="1:9">
      <c r="A8" s="3">
        <v>46208</v>
      </c>
      <c r="B8" s="2" t="s">
        <v>91</v>
      </c>
      <c r="C8" s="2" t="s">
        <v>75</v>
      </c>
      <c r="D8" s="2" t="s">
        <v>36</v>
      </c>
      <c r="E8" s="2" t="s">
        <v>36</v>
      </c>
      <c r="F8" s="2" t="s">
        <v>36</v>
      </c>
      <c r="G8" s="2" t="s">
        <v>36</v>
      </c>
      <c r="H8" s="2" t="s">
        <v>76</v>
      </c>
      <c r="I8" s="2" t="s">
        <v>107</v>
      </c>
    </row>
    <row r="9" spans="1:9">
      <c r="A9" s="3">
        <v>46209</v>
      </c>
      <c r="B9" s="2" t="s">
        <v>91</v>
      </c>
      <c r="C9" s="2" t="s">
        <v>75</v>
      </c>
      <c r="D9" s="2" t="s">
        <v>36</v>
      </c>
      <c r="E9" s="2" t="s">
        <v>36</v>
      </c>
      <c r="F9" s="2" t="s">
        <v>36</v>
      </c>
      <c r="G9" s="2" t="s">
        <v>36</v>
      </c>
      <c r="H9" s="2" t="s">
        <v>76</v>
      </c>
      <c r="I9" s="2" t="s">
        <v>107</v>
      </c>
    </row>
    <row r="10" spans="1:9">
      <c r="A10" s="3">
        <v>46210</v>
      </c>
      <c r="B10" s="2" t="s">
        <v>94</v>
      </c>
      <c r="C10" s="2" t="s">
        <v>79</v>
      </c>
      <c r="D10" s="2" t="s">
        <v>36</v>
      </c>
      <c r="E10" s="2" t="s">
        <v>36</v>
      </c>
      <c r="F10" s="2" t="s">
        <v>36</v>
      </c>
      <c r="G10" s="2" t="s">
        <v>36</v>
      </c>
      <c r="H10" s="2" t="s">
        <v>76</v>
      </c>
      <c r="I10" s="2" t="s">
        <v>108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3.8"/>
  <cols>
    <col min="1" max="1" width="6.59765625" customWidth="1"/>
    <col min="2" max="3" width="14.09765625" customWidth="1"/>
    <col min="4" max="4" width="19.59765625" customWidth="1"/>
    <col min="5" max="5" width="16.19921875" customWidth="1"/>
    <col min="6" max="6" width="18.59765625" customWidth="1"/>
    <col min="7" max="7" width="19.09765625" customWidth="1"/>
    <col min="8" max="8" width="65" customWidth="1"/>
  </cols>
  <sheetData>
    <row r="1" spans="1:8">
      <c r="A1" s="8" t="s">
        <v>68</v>
      </c>
      <c r="B1" s="8" t="s">
        <v>67</v>
      </c>
      <c r="C1" s="8" t="s">
        <v>69</v>
      </c>
      <c r="D1" s="8" t="s">
        <v>109</v>
      </c>
      <c r="E1" s="8" t="s">
        <v>110</v>
      </c>
      <c r="F1" s="8" t="s">
        <v>111</v>
      </c>
      <c r="G1" s="8" t="s">
        <v>112</v>
      </c>
      <c r="H1" s="8" t="s">
        <v>101</v>
      </c>
    </row>
    <row r="2" spans="1:8" ht="27.6">
      <c r="A2" s="3">
        <v>46200</v>
      </c>
      <c r="B2" s="2" t="s">
        <v>74</v>
      </c>
      <c r="C2" s="2" t="s">
        <v>75</v>
      </c>
      <c r="D2" s="2" t="s">
        <v>76</v>
      </c>
      <c r="E2" s="2" t="s">
        <v>76</v>
      </c>
      <c r="F2" s="2" t="s">
        <v>76</v>
      </c>
      <c r="G2" s="2" t="s">
        <v>76</v>
      </c>
      <c r="H2" s="2" t="s">
        <v>113</v>
      </c>
    </row>
    <row r="3" spans="1:8">
      <c r="A3" s="3">
        <v>46203</v>
      </c>
      <c r="B3" s="2" t="s">
        <v>78</v>
      </c>
      <c r="C3" s="2" t="s">
        <v>79</v>
      </c>
      <c r="D3" s="2" t="s">
        <v>80</v>
      </c>
      <c r="E3" s="2" t="s">
        <v>80</v>
      </c>
      <c r="F3" s="2" t="s">
        <v>80</v>
      </c>
      <c r="G3" s="2" t="s">
        <v>80</v>
      </c>
      <c r="H3" s="2" t="s">
        <v>114</v>
      </c>
    </row>
    <row r="4" spans="1:8">
      <c r="A4" s="3">
        <v>46204</v>
      </c>
      <c r="B4" s="2" t="s">
        <v>82</v>
      </c>
      <c r="C4" s="2" t="s">
        <v>79</v>
      </c>
      <c r="D4" s="2" t="s">
        <v>76</v>
      </c>
      <c r="E4" s="2" t="s">
        <v>76</v>
      </c>
      <c r="F4" s="2" t="s">
        <v>76</v>
      </c>
      <c r="G4" s="2" t="s">
        <v>76</v>
      </c>
      <c r="H4" s="2" t="s">
        <v>115</v>
      </c>
    </row>
    <row r="5" spans="1:8">
      <c r="A5" s="3">
        <v>46205</v>
      </c>
      <c r="B5" s="2" t="s">
        <v>85</v>
      </c>
      <c r="C5" s="2" t="s">
        <v>79</v>
      </c>
      <c r="D5" s="2" t="s">
        <v>80</v>
      </c>
      <c r="E5" s="2" t="s">
        <v>80</v>
      </c>
      <c r="F5" s="2" t="s">
        <v>80</v>
      </c>
      <c r="G5" s="2" t="s">
        <v>80</v>
      </c>
      <c r="H5" s="2" t="s">
        <v>116</v>
      </c>
    </row>
    <row r="6" spans="1:8">
      <c r="A6" s="3">
        <v>46206</v>
      </c>
      <c r="B6" s="2" t="s">
        <v>87</v>
      </c>
      <c r="C6" s="2" t="s">
        <v>79</v>
      </c>
      <c r="D6" s="2" t="s">
        <v>80</v>
      </c>
      <c r="E6" s="2" t="s">
        <v>80</v>
      </c>
      <c r="F6" s="2" t="s">
        <v>80</v>
      </c>
      <c r="G6" s="2" t="s">
        <v>80</v>
      </c>
      <c r="H6" s="2" t="s">
        <v>116</v>
      </c>
    </row>
    <row r="7" spans="1:8">
      <c r="A7" s="3">
        <v>46207</v>
      </c>
      <c r="B7" s="2" t="s">
        <v>88</v>
      </c>
      <c r="C7" s="2" t="s">
        <v>79</v>
      </c>
      <c r="D7" s="2" t="s">
        <v>76</v>
      </c>
      <c r="E7" s="2" t="s">
        <v>76</v>
      </c>
      <c r="F7" s="2" t="s">
        <v>76</v>
      </c>
      <c r="G7" s="2" t="s">
        <v>76</v>
      </c>
      <c r="H7" s="2" t="s">
        <v>115</v>
      </c>
    </row>
    <row r="8" spans="1:8">
      <c r="A8" s="3">
        <v>46208</v>
      </c>
      <c r="B8" s="2" t="s">
        <v>91</v>
      </c>
      <c r="C8" s="2" t="s">
        <v>75</v>
      </c>
      <c r="D8" s="2" t="s">
        <v>80</v>
      </c>
      <c r="E8" s="2" t="s">
        <v>80</v>
      </c>
      <c r="F8" s="2" t="s">
        <v>80</v>
      </c>
      <c r="G8" s="2" t="s">
        <v>80</v>
      </c>
      <c r="H8" s="2" t="s">
        <v>117</v>
      </c>
    </row>
    <row r="9" spans="1:8">
      <c r="A9" s="3">
        <v>46209</v>
      </c>
      <c r="B9" s="2" t="s">
        <v>91</v>
      </c>
      <c r="C9" s="2" t="s">
        <v>75</v>
      </c>
      <c r="D9" s="2" t="s">
        <v>80</v>
      </c>
      <c r="E9" s="2" t="s">
        <v>80</v>
      </c>
      <c r="F9" s="2" t="s">
        <v>80</v>
      </c>
      <c r="G9" s="2" t="s">
        <v>80</v>
      </c>
      <c r="H9" s="2" t="s">
        <v>117</v>
      </c>
    </row>
    <row r="10" spans="1:8">
      <c r="A10" s="3">
        <v>46210</v>
      </c>
      <c r="B10" s="2" t="s">
        <v>94</v>
      </c>
      <c r="C10" s="2" t="s">
        <v>79</v>
      </c>
      <c r="D10" s="2" t="s">
        <v>80</v>
      </c>
      <c r="E10" s="2" t="s">
        <v>80</v>
      </c>
      <c r="F10" s="2" t="s">
        <v>80</v>
      </c>
      <c r="G10" s="2" t="s">
        <v>80</v>
      </c>
      <c r="H10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tabSelected="1" workbookViewId="0">
      <selection sqref="A1:D1"/>
    </sheetView>
  </sheetViews>
  <sheetFormatPr defaultRowHeight="13.8"/>
  <cols>
    <col min="1" max="1" width="28" customWidth="1"/>
    <col min="2" max="3" width="15" customWidth="1"/>
    <col min="4" max="4" width="45" customWidth="1"/>
  </cols>
  <sheetData>
    <row r="1" spans="1:4" ht="21">
      <c r="A1" s="10" t="s">
        <v>119</v>
      </c>
      <c r="B1" s="11"/>
      <c r="C1" s="11"/>
      <c r="D1" s="11"/>
    </row>
    <row r="3" spans="1:4">
      <c r="A3" s="5" t="s">
        <v>120</v>
      </c>
      <c r="B3" s="5" t="s">
        <v>121</v>
      </c>
    </row>
    <row r="4" spans="1:4">
      <c r="A4" t="s">
        <v>122</v>
      </c>
      <c r="B4">
        <f>COUNTA('Tray Status'!$A$2:$A$13)</f>
        <v>12</v>
      </c>
    </row>
    <row r="5" spans="1:4">
      <c r="A5" t="s">
        <v>123</v>
      </c>
      <c r="B5">
        <f>COUNTIF('Tray Status'!$D$2:$D$13,"Microbes")</f>
        <v>6</v>
      </c>
    </row>
    <row r="6" spans="1:4">
      <c r="A6" t="s">
        <v>124</v>
      </c>
      <c r="B6">
        <f>COUNTIF('Tray Status'!$D$2:$D$13,"No Microbes")</f>
        <v>6</v>
      </c>
    </row>
    <row r="7" spans="1:4">
      <c r="A7" t="s">
        <v>125</v>
      </c>
      <c r="B7">
        <f>COUNTIF('Tray Status'!$E$2:$E$13,"Ideal")</f>
        <v>4</v>
      </c>
    </row>
    <row r="8" spans="1:4">
      <c r="A8" t="s">
        <v>126</v>
      </c>
      <c r="B8">
        <f>COUNTIF('Tray Status'!$E$2:$E$13,"Heat")</f>
        <v>4</v>
      </c>
    </row>
    <row r="9" spans="1:4">
      <c r="A9" t="s">
        <v>127</v>
      </c>
      <c r="B9">
        <f>COUNTIF('Tray Status'!$E$2:$E$13,"Moisture")</f>
        <v>4</v>
      </c>
    </row>
    <row r="10" spans="1:4">
      <c r="A10" t="s">
        <v>128</v>
      </c>
      <c r="B10">
        <f>COUNTIF('Tray Status'!$F$2:$F$13,"Inside")</f>
        <v>4</v>
      </c>
    </row>
    <row r="11" spans="1:4">
      <c r="A11" t="s">
        <v>129</v>
      </c>
      <c r="B11">
        <f>COUNTIF('Tray Status'!$F$2:$F$13,"Outside")</f>
        <v>4</v>
      </c>
    </row>
    <row r="12" spans="1:4">
      <c r="A12" t="s">
        <v>130</v>
      </c>
      <c r="B12">
        <f>COUNTIF('Tray Status'!$F$2:$F$13,"Dynamic")</f>
        <v>4</v>
      </c>
    </row>
    <row r="14" spans="1:4">
      <c r="A14" s="5" t="s">
        <v>131</v>
      </c>
      <c r="B14" s="5" t="s">
        <v>7</v>
      </c>
      <c r="C14" s="5" t="s">
        <v>9</v>
      </c>
      <c r="D14" s="5" t="s">
        <v>132</v>
      </c>
    </row>
    <row r="15" spans="1:4">
      <c r="A15" s="1" t="s">
        <v>14</v>
      </c>
      <c r="B15">
        <f>COUNTIFS('Tray Status'!$E$2:$E$13,$A15,'Tray Status'!$D$2:$D$13,B$14)</f>
        <v>2</v>
      </c>
      <c r="C15">
        <f>COUNTIFS('Tray Status'!$E$2:$E$13,$A15,'Tray Status'!$D$2:$D$13,C$14)</f>
        <v>2</v>
      </c>
      <c r="D15">
        <f>SUM(B15:C15)</f>
        <v>4</v>
      </c>
    </row>
    <row r="16" spans="1:4">
      <c r="A16" s="1" t="s">
        <v>16</v>
      </c>
      <c r="B16">
        <f>COUNTIFS('Tray Status'!$E$2:$E$13,$A16,'Tray Status'!$D$2:$D$13,B$14)</f>
        <v>2</v>
      </c>
      <c r="C16">
        <f>COUNTIFS('Tray Status'!$E$2:$E$13,$A16,'Tray Status'!$D$2:$D$13,C$14)</f>
        <v>2</v>
      </c>
      <c r="D16">
        <f>SUM(B16:C16)</f>
        <v>4</v>
      </c>
    </row>
    <row r="17" spans="1:4">
      <c r="A17" s="1" t="s">
        <v>45</v>
      </c>
      <c r="B17">
        <f>COUNTIFS('Tray Status'!$E$2:$E$13,$A17,'Tray Status'!$D$2:$D$13,B$14)</f>
        <v>2</v>
      </c>
      <c r="C17">
        <f>COUNTIFS('Tray Status'!$E$2:$E$13,$A17,'Tray Status'!$D$2:$D$13,C$14)</f>
        <v>2</v>
      </c>
      <c r="D17">
        <f>SUM(B17:C17)</f>
        <v>4</v>
      </c>
    </row>
    <row r="18" spans="1:4">
      <c r="A18" s="1" t="s">
        <v>132</v>
      </c>
      <c r="B18">
        <f>SUM(B15:B17)</f>
        <v>6</v>
      </c>
      <c r="C18">
        <f>SUM(C15:C17)</f>
        <v>6</v>
      </c>
      <c r="D18">
        <f>SUM(D15:D17)</f>
        <v>12</v>
      </c>
    </row>
    <row r="19" spans="1:4" ht="17.399999999999999">
      <c r="A19" s="9" t="s">
        <v>133</v>
      </c>
      <c r="B19" s="9"/>
      <c r="C19" s="9"/>
      <c r="D19" s="9"/>
    </row>
    <row r="20" spans="1:4">
      <c r="A20" s="8" t="s">
        <v>134</v>
      </c>
      <c r="B20" s="8" t="s">
        <v>121</v>
      </c>
      <c r="C20" s="8" t="s">
        <v>135</v>
      </c>
      <c r="D20" s="8" t="s">
        <v>136</v>
      </c>
    </row>
    <row r="21" spans="1:4">
      <c r="A21" s="2" t="s">
        <v>137</v>
      </c>
      <c r="B21" s="2">
        <v>4</v>
      </c>
      <c r="C21" s="2" t="s">
        <v>138</v>
      </c>
      <c r="D21" s="2" t="s">
        <v>139</v>
      </c>
    </row>
    <row r="22" spans="1:4">
      <c r="A22" s="2" t="s">
        <v>140</v>
      </c>
      <c r="B22" s="2">
        <v>4</v>
      </c>
      <c r="C22" s="2" t="s">
        <v>141</v>
      </c>
      <c r="D22" s="2" t="s">
        <v>142</v>
      </c>
    </row>
    <row r="23" spans="1:4">
      <c r="A23" s="2" t="s">
        <v>143</v>
      </c>
      <c r="B23" s="2">
        <v>4</v>
      </c>
      <c r="C23" s="2" t="s">
        <v>144</v>
      </c>
      <c r="D23" s="2" t="s">
        <v>142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"/>
  <sheetViews>
    <sheetView workbookViewId="0"/>
  </sheetViews>
  <sheetFormatPr defaultRowHeight="13.8"/>
  <cols>
    <col min="1" max="1" width="39.59765625" customWidth="1"/>
    <col min="2" max="3" width="11.59765625" customWidth="1"/>
    <col min="4" max="4" width="75" customWidth="1"/>
    <col min="5" max="6" width="16.3984375" customWidth="1"/>
    <col min="7" max="7" width="16.19921875" customWidth="1"/>
    <col min="8" max="8" width="70" customWidth="1"/>
  </cols>
  <sheetData>
    <row r="1" spans="1:8" ht="34.799999999999997">
      <c r="A1" s="9" t="s">
        <v>145</v>
      </c>
      <c r="B1" s="9"/>
      <c r="C1" s="9"/>
      <c r="D1" s="9"/>
      <c r="E1" s="9"/>
      <c r="F1" s="9"/>
      <c r="G1" s="9"/>
      <c r="H1" s="9"/>
    </row>
    <row r="3" spans="1:8" ht="27.6">
      <c r="A3" s="8" t="s">
        <v>68</v>
      </c>
      <c r="B3" s="8" t="s">
        <v>67</v>
      </c>
      <c r="C3" s="8" t="s">
        <v>69</v>
      </c>
      <c r="D3" s="8" t="s">
        <v>146</v>
      </c>
      <c r="E3" s="8" t="s">
        <v>147</v>
      </c>
      <c r="F3" s="8" t="s">
        <v>148</v>
      </c>
      <c r="G3" s="8" t="s">
        <v>149</v>
      </c>
      <c r="H3" s="8" t="s">
        <v>73</v>
      </c>
    </row>
    <row r="4" spans="1:8" ht="27.6">
      <c r="A4" s="3">
        <v>46200</v>
      </c>
      <c r="B4" s="2" t="s">
        <v>74</v>
      </c>
      <c r="C4" s="2" t="s">
        <v>75</v>
      </c>
      <c r="D4" s="2" t="s">
        <v>79</v>
      </c>
      <c r="E4" s="2" t="s">
        <v>76</v>
      </c>
      <c r="F4" s="2" t="s">
        <v>79</v>
      </c>
      <c r="G4" s="2" t="s">
        <v>79</v>
      </c>
      <c r="H4" s="2" t="s">
        <v>150</v>
      </c>
    </row>
    <row r="5" spans="1:8">
      <c r="A5" s="3">
        <v>46203</v>
      </c>
      <c r="B5" s="2" t="s">
        <v>78</v>
      </c>
      <c r="C5" s="2" t="s">
        <v>79</v>
      </c>
      <c r="D5" s="2" t="s">
        <v>75</v>
      </c>
      <c r="E5" s="2" t="s">
        <v>80</v>
      </c>
      <c r="F5" s="2" t="s">
        <v>79</v>
      </c>
      <c r="G5" s="2" t="s">
        <v>79</v>
      </c>
      <c r="H5" s="2" t="s">
        <v>151</v>
      </c>
    </row>
    <row r="6" spans="1:8">
      <c r="A6" s="3">
        <v>46204</v>
      </c>
      <c r="B6" s="2" t="s">
        <v>82</v>
      </c>
      <c r="C6" s="2" t="s">
        <v>79</v>
      </c>
      <c r="D6" s="2" t="s">
        <v>79</v>
      </c>
      <c r="E6" s="2" t="s">
        <v>76</v>
      </c>
      <c r="F6" s="2" t="s">
        <v>79</v>
      </c>
      <c r="G6" s="2" t="s">
        <v>79</v>
      </c>
      <c r="H6" s="2" t="s">
        <v>152</v>
      </c>
    </row>
    <row r="7" spans="1:8">
      <c r="A7" s="3">
        <v>46205</v>
      </c>
      <c r="B7" s="2" t="s">
        <v>85</v>
      </c>
      <c r="C7" s="2" t="s">
        <v>79</v>
      </c>
      <c r="D7" s="2" t="s">
        <v>75</v>
      </c>
      <c r="E7" s="2" t="s">
        <v>80</v>
      </c>
      <c r="F7" s="2" t="s">
        <v>79</v>
      </c>
      <c r="G7" s="2" t="s">
        <v>79</v>
      </c>
      <c r="H7" s="2" t="s">
        <v>153</v>
      </c>
    </row>
    <row r="8" spans="1:8">
      <c r="A8" s="3">
        <v>46206</v>
      </c>
      <c r="B8" s="2" t="s">
        <v>87</v>
      </c>
      <c r="C8" s="2" t="s">
        <v>79</v>
      </c>
      <c r="D8" s="2" t="s">
        <v>75</v>
      </c>
      <c r="E8" s="2" t="s">
        <v>80</v>
      </c>
      <c r="F8" s="2" t="s">
        <v>79</v>
      </c>
      <c r="G8" s="2" t="s">
        <v>79</v>
      </c>
      <c r="H8" s="2" t="s">
        <v>153</v>
      </c>
    </row>
    <row r="9" spans="1:8">
      <c r="A9" s="3">
        <v>46207</v>
      </c>
      <c r="B9" s="2" t="s">
        <v>88</v>
      </c>
      <c r="C9" s="2" t="s">
        <v>79</v>
      </c>
      <c r="D9" s="2" t="s">
        <v>79</v>
      </c>
      <c r="E9" s="2" t="s">
        <v>76</v>
      </c>
      <c r="F9" s="2" t="s">
        <v>79</v>
      </c>
      <c r="G9" s="2" t="s">
        <v>79</v>
      </c>
      <c r="H9" s="2" t="s">
        <v>154</v>
      </c>
    </row>
    <row r="10" spans="1:8">
      <c r="A10" s="3">
        <v>46208</v>
      </c>
      <c r="B10" s="2" t="s">
        <v>91</v>
      </c>
      <c r="C10" s="2" t="s">
        <v>75</v>
      </c>
      <c r="D10" s="2" t="s">
        <v>75</v>
      </c>
      <c r="E10" s="2" t="s">
        <v>80</v>
      </c>
      <c r="F10" s="2" t="s">
        <v>79</v>
      </c>
      <c r="G10" s="2" t="s">
        <v>79</v>
      </c>
      <c r="H10" s="2" t="s">
        <v>155</v>
      </c>
    </row>
    <row r="11" spans="1:8">
      <c r="A11" s="3">
        <v>46209</v>
      </c>
      <c r="B11" s="2" t="s">
        <v>91</v>
      </c>
      <c r="C11" s="2" t="s">
        <v>75</v>
      </c>
      <c r="D11" s="2" t="s">
        <v>75</v>
      </c>
      <c r="E11" s="2" t="s">
        <v>80</v>
      </c>
      <c r="F11" s="2" t="s">
        <v>79</v>
      </c>
      <c r="G11" s="2" t="s">
        <v>79</v>
      </c>
      <c r="H11" s="2" t="s">
        <v>155</v>
      </c>
    </row>
    <row r="12" spans="1:8">
      <c r="A12" s="3">
        <v>46210</v>
      </c>
      <c r="B12" s="2" t="s">
        <v>94</v>
      </c>
      <c r="C12" s="2" t="s">
        <v>79</v>
      </c>
      <c r="D12" s="2" t="s">
        <v>75</v>
      </c>
      <c r="E12" s="2" t="s">
        <v>80</v>
      </c>
      <c r="F12" s="2" t="s">
        <v>79</v>
      </c>
      <c r="G12" s="2" t="s">
        <v>79</v>
      </c>
      <c r="H12" s="2" t="s">
        <v>156</v>
      </c>
    </row>
    <row r="15" spans="1:8" ht="27.6">
      <c r="A15" s="8" t="s">
        <v>134</v>
      </c>
      <c r="B15" s="8" t="s">
        <v>135</v>
      </c>
      <c r="C15" s="8" t="s">
        <v>33</v>
      </c>
      <c r="D15" s="8" t="s">
        <v>73</v>
      </c>
    </row>
    <row r="16" spans="1:8" ht="41.4">
      <c r="A16" s="2" t="s">
        <v>45</v>
      </c>
      <c r="B16" s="2" t="s">
        <v>157</v>
      </c>
      <c r="C16" s="2" t="s">
        <v>158</v>
      </c>
      <c r="D16" s="2" t="s">
        <v>159</v>
      </c>
    </row>
    <row r="17" spans="1:4" ht="41.4">
      <c r="A17" s="2" t="s">
        <v>14</v>
      </c>
      <c r="B17" s="2" t="s">
        <v>160</v>
      </c>
      <c r="C17" s="2" t="s">
        <v>39</v>
      </c>
      <c r="D17" s="2" t="s">
        <v>161</v>
      </c>
    </row>
    <row r="18" spans="1:4" ht="41.4">
      <c r="A18" s="2" t="s">
        <v>16</v>
      </c>
      <c r="B18" s="2" t="s">
        <v>162</v>
      </c>
      <c r="C18" s="2" t="s">
        <v>39</v>
      </c>
      <c r="D18" s="2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Tray Status</vt:lpstr>
      <vt:lpstr>Daily Schedule</vt:lpstr>
      <vt:lpstr>Heat Timeline</vt:lpstr>
      <vt:lpstr>Moisture Timeline</vt:lpstr>
      <vt:lpstr>Summary</vt:lpstr>
      <vt:lpstr>Watering 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Shibbir Turag</dc:creator>
  <cp:lastModifiedBy>Shibbir Turag</cp:lastModifiedBy>
  <dcterms:created xsi:type="dcterms:W3CDTF">2026-07-09T12:25:36Z</dcterms:created>
  <dcterms:modified xsi:type="dcterms:W3CDTF">2026-07-09T12:25:46Z</dcterms:modified>
</cp:coreProperties>
</file>