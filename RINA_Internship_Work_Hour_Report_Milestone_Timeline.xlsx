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shib\OneDrive\Desktop\Internship\"/>
    </mc:Choice>
  </mc:AlternateContent>
  <xr:revisionPtr revIDLastSave="0" documentId="13_ncr:1_{035D455B-EAFF-4BFA-9D62-758FF04AC93F}" xr6:coauthVersionLast="47" xr6:coauthVersionMax="47" xr10:uidLastSave="{00000000-0000-0000-0000-000000000000}"/>
  <bookViews>
    <workbookView xWindow="-108" yWindow="-108" windowWidth="23256" windowHeight="12456" xr2:uid="{00000000-000D-0000-FFFF-FFFF00000000}"/>
  </bookViews>
  <sheets>
    <sheet name="Hours Log" sheetId="1" r:id="rId1"/>
    <sheet name="Milestone Summary" sheetId="2" r:id="rId2"/>
    <sheet name="Week Planner" sheetId="3" r:id="rId3"/>
    <sheet name="Source 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9" i="1" l="1"/>
  <c r="F48" i="1"/>
  <c r="F45" i="1"/>
  <c r="F46" i="1"/>
  <c r="F47" i="1"/>
  <c r="G159" i="1" l="1"/>
  <c r="F159" i="1"/>
  <c r="C159" i="1"/>
  <c r="B159" i="1"/>
  <c r="G158" i="1"/>
  <c r="F158" i="1"/>
  <c r="C158" i="1"/>
  <c r="B158" i="1"/>
  <c r="G157" i="1"/>
  <c r="F157" i="1"/>
  <c r="C157" i="1"/>
  <c r="B157" i="1"/>
  <c r="G156" i="1"/>
  <c r="F156" i="1"/>
  <c r="C156" i="1"/>
  <c r="B156" i="1"/>
  <c r="G155" i="1"/>
  <c r="F155" i="1"/>
  <c r="C155" i="1"/>
  <c r="B155" i="1"/>
  <c r="G154" i="1"/>
  <c r="F154" i="1"/>
  <c r="C154" i="1"/>
  <c r="B154" i="1"/>
  <c r="G153" i="1"/>
  <c r="F153" i="1"/>
  <c r="C153" i="1"/>
  <c r="B153" i="1"/>
  <c r="G152" i="1"/>
  <c r="F152" i="1"/>
  <c r="C152" i="1"/>
  <c r="B152" i="1"/>
  <c r="G151" i="1"/>
  <c r="F151" i="1"/>
  <c r="C151" i="1"/>
  <c r="B151" i="1"/>
  <c r="G150" i="1"/>
  <c r="F150" i="1"/>
  <c r="C150" i="1"/>
  <c r="B150" i="1"/>
  <c r="G149" i="1"/>
  <c r="F149" i="1"/>
  <c r="C149" i="1"/>
  <c r="B149" i="1"/>
  <c r="G148" i="1"/>
  <c r="F148" i="1"/>
  <c r="C148" i="1"/>
  <c r="B148" i="1"/>
  <c r="G147" i="1"/>
  <c r="F147" i="1"/>
  <c r="C147" i="1"/>
  <c r="B147" i="1"/>
  <c r="G146" i="1"/>
  <c r="F146" i="1"/>
  <c r="C146" i="1"/>
  <c r="B146" i="1"/>
  <c r="G145" i="1"/>
  <c r="F145" i="1"/>
  <c r="C145" i="1"/>
  <c r="B145" i="1"/>
  <c r="G144" i="1"/>
  <c r="F144" i="1"/>
  <c r="C144" i="1"/>
  <c r="B144" i="1"/>
  <c r="G143" i="1"/>
  <c r="F143" i="1"/>
  <c r="C143" i="1"/>
  <c r="B143" i="1"/>
  <c r="G142" i="1"/>
  <c r="F142" i="1"/>
  <c r="C142" i="1"/>
  <c r="B142" i="1"/>
  <c r="G141" i="1"/>
  <c r="F141" i="1"/>
  <c r="C141" i="1"/>
  <c r="B141" i="1"/>
  <c r="G140" i="1"/>
  <c r="F140" i="1"/>
  <c r="C140" i="1"/>
  <c r="B140" i="1"/>
  <c r="G139" i="1"/>
  <c r="F139" i="1"/>
  <c r="C139" i="1"/>
  <c r="B139" i="1"/>
  <c r="G138" i="1"/>
  <c r="F138" i="1"/>
  <c r="C138" i="1"/>
  <c r="B138" i="1"/>
  <c r="G137" i="1"/>
  <c r="F137" i="1"/>
  <c r="C137" i="1"/>
  <c r="B137" i="1"/>
  <c r="G136" i="1"/>
  <c r="F136" i="1"/>
  <c r="C136" i="1"/>
  <c r="B136" i="1"/>
  <c r="G135" i="1"/>
  <c r="F135" i="1"/>
  <c r="C135" i="1"/>
  <c r="B135" i="1"/>
  <c r="G134" i="1"/>
  <c r="F134" i="1"/>
  <c r="C134" i="1"/>
  <c r="B134" i="1"/>
  <c r="G133" i="1"/>
  <c r="F133" i="1"/>
  <c r="C133" i="1"/>
  <c r="B133" i="1"/>
  <c r="G132" i="1"/>
  <c r="F132" i="1"/>
  <c r="C132" i="1"/>
  <c r="B132" i="1"/>
  <c r="G131" i="1"/>
  <c r="F131" i="1"/>
  <c r="C131" i="1"/>
  <c r="B131" i="1"/>
  <c r="G130" i="1"/>
  <c r="F130" i="1"/>
  <c r="C130" i="1"/>
  <c r="B130" i="1"/>
  <c r="G129" i="1"/>
  <c r="F129" i="1"/>
  <c r="C129" i="1"/>
  <c r="B129" i="1"/>
  <c r="G128" i="1"/>
  <c r="F128" i="1"/>
  <c r="C128" i="1"/>
  <c r="B128" i="1"/>
  <c r="G127" i="1"/>
  <c r="F127" i="1"/>
  <c r="C127" i="1"/>
  <c r="B127" i="1"/>
  <c r="G126" i="1"/>
  <c r="F126" i="1"/>
  <c r="C126" i="1"/>
  <c r="B126" i="1"/>
  <c r="G125" i="1"/>
  <c r="F125" i="1"/>
  <c r="C125" i="1"/>
  <c r="B125" i="1"/>
  <c r="G124" i="1"/>
  <c r="F124" i="1"/>
  <c r="C124" i="1"/>
  <c r="B124" i="1"/>
  <c r="G123" i="1"/>
  <c r="F123" i="1"/>
  <c r="C123" i="1"/>
  <c r="B123" i="1"/>
  <c r="G122" i="1"/>
  <c r="F122" i="1"/>
  <c r="C122" i="1"/>
  <c r="B122" i="1"/>
  <c r="G121" i="1"/>
  <c r="F121" i="1"/>
  <c r="C121" i="1"/>
  <c r="B121" i="1"/>
  <c r="G120" i="1"/>
  <c r="F120" i="1"/>
  <c r="C120" i="1"/>
  <c r="B120" i="1"/>
  <c r="G119" i="1"/>
  <c r="F119" i="1"/>
  <c r="C119" i="1"/>
  <c r="B119" i="1"/>
  <c r="G118" i="1"/>
  <c r="F118" i="1"/>
  <c r="C118" i="1"/>
  <c r="B118" i="1"/>
  <c r="G117" i="1"/>
  <c r="F117" i="1"/>
  <c r="C117" i="1"/>
  <c r="B117" i="1"/>
  <c r="G116" i="1"/>
  <c r="F116" i="1"/>
  <c r="C116" i="1"/>
  <c r="B116" i="1"/>
  <c r="G115" i="1"/>
  <c r="F115" i="1"/>
  <c r="C115" i="1"/>
  <c r="B115" i="1"/>
  <c r="G114" i="1"/>
  <c r="F114" i="1"/>
  <c r="C114" i="1"/>
  <c r="B114" i="1"/>
  <c r="G113" i="1"/>
  <c r="F113" i="1"/>
  <c r="C113" i="1"/>
  <c r="B113" i="1"/>
  <c r="G112" i="1"/>
  <c r="F112" i="1"/>
  <c r="C112" i="1"/>
  <c r="B112" i="1"/>
  <c r="G111" i="1"/>
  <c r="F111" i="1"/>
  <c r="C111" i="1"/>
  <c r="B111" i="1"/>
  <c r="G110" i="1"/>
  <c r="F110" i="1"/>
  <c r="C110" i="1"/>
  <c r="B110" i="1"/>
  <c r="G109" i="1"/>
  <c r="F109" i="1"/>
  <c r="C109" i="1"/>
  <c r="B109" i="1"/>
  <c r="G108" i="1"/>
  <c r="F108" i="1"/>
  <c r="C108" i="1"/>
  <c r="B108" i="1"/>
  <c r="G107" i="1"/>
  <c r="F107" i="1"/>
  <c r="C107" i="1"/>
  <c r="B107" i="1"/>
  <c r="G106" i="1"/>
  <c r="F106" i="1"/>
  <c r="C106" i="1"/>
  <c r="B106" i="1"/>
  <c r="G105" i="1"/>
  <c r="F105" i="1"/>
  <c r="C105" i="1"/>
  <c r="B105" i="1"/>
  <c r="G104" i="1"/>
  <c r="F104" i="1"/>
  <c r="C104" i="1"/>
  <c r="B104" i="1"/>
  <c r="G103" i="1"/>
  <c r="F103" i="1"/>
  <c r="C103" i="1"/>
  <c r="B103" i="1"/>
  <c r="G102" i="1"/>
  <c r="F102" i="1"/>
  <c r="C102" i="1"/>
  <c r="B102" i="1"/>
  <c r="G101" i="1"/>
  <c r="F101" i="1"/>
  <c r="C101" i="1"/>
  <c r="B101" i="1"/>
  <c r="G100" i="1"/>
  <c r="F100" i="1"/>
  <c r="C100" i="1"/>
  <c r="B100" i="1"/>
  <c r="G99" i="1"/>
  <c r="F99" i="1"/>
  <c r="C99" i="1"/>
  <c r="B99" i="1"/>
  <c r="G98" i="1"/>
  <c r="F98" i="1"/>
  <c r="C98" i="1"/>
  <c r="B98" i="1"/>
  <c r="G97" i="1"/>
  <c r="F97" i="1"/>
  <c r="C97" i="1"/>
  <c r="B97" i="1"/>
  <c r="G96" i="1"/>
  <c r="F96" i="1"/>
  <c r="C96" i="1"/>
  <c r="B96" i="1"/>
  <c r="G95" i="1"/>
  <c r="F95" i="1"/>
  <c r="C95" i="1"/>
  <c r="B95" i="1"/>
  <c r="G94" i="1"/>
  <c r="F94" i="1"/>
  <c r="C94" i="1"/>
  <c r="B94" i="1"/>
  <c r="G93" i="1"/>
  <c r="F93" i="1"/>
  <c r="C93" i="1"/>
  <c r="B93" i="1"/>
  <c r="G92" i="1"/>
  <c r="F92" i="1"/>
  <c r="C92" i="1"/>
  <c r="B92" i="1"/>
  <c r="G91" i="1"/>
  <c r="F91" i="1"/>
  <c r="C91" i="1"/>
  <c r="B91" i="1"/>
  <c r="G90" i="1"/>
  <c r="F90" i="1"/>
  <c r="C90" i="1"/>
  <c r="B90" i="1"/>
  <c r="G89" i="1"/>
  <c r="F89" i="1"/>
  <c r="C89" i="1"/>
  <c r="B89" i="1"/>
  <c r="G88" i="1"/>
  <c r="F88" i="1"/>
  <c r="C88" i="1"/>
  <c r="B88" i="1"/>
  <c r="G87" i="1"/>
  <c r="F87" i="1"/>
  <c r="C87" i="1"/>
  <c r="B87" i="1"/>
  <c r="G86" i="1"/>
  <c r="F86" i="1"/>
  <c r="C86" i="1"/>
  <c r="B86" i="1"/>
  <c r="G85" i="1"/>
  <c r="F85" i="1"/>
  <c r="C85" i="1"/>
  <c r="B85" i="1"/>
  <c r="G84" i="1"/>
  <c r="F84" i="1"/>
  <c r="C84" i="1"/>
  <c r="B84" i="1"/>
  <c r="G83" i="1"/>
  <c r="F83" i="1"/>
  <c r="C83" i="1"/>
  <c r="B83" i="1"/>
  <c r="G82" i="1"/>
  <c r="F82" i="1"/>
  <c r="C82" i="1"/>
  <c r="B82" i="1"/>
  <c r="G81" i="1"/>
  <c r="F81" i="1"/>
  <c r="C81" i="1"/>
  <c r="B81" i="1"/>
  <c r="G80" i="1"/>
  <c r="F80" i="1"/>
  <c r="C80" i="1"/>
  <c r="B80" i="1"/>
  <c r="G79" i="1"/>
  <c r="C79" i="1"/>
  <c r="B79" i="1"/>
  <c r="G78" i="1"/>
  <c r="C78" i="1"/>
  <c r="B78" i="1"/>
  <c r="G77" i="1"/>
  <c r="C77" i="1"/>
  <c r="B77" i="1"/>
  <c r="G76" i="1"/>
  <c r="C76" i="1"/>
  <c r="B76" i="1"/>
  <c r="G75" i="1"/>
  <c r="C75" i="1"/>
  <c r="B75" i="1"/>
  <c r="G74" i="1"/>
  <c r="C74" i="1"/>
  <c r="B74" i="1"/>
  <c r="G73" i="1"/>
  <c r="C73" i="1"/>
  <c r="B73" i="1"/>
  <c r="G72" i="1"/>
  <c r="C72" i="1"/>
  <c r="B72" i="1"/>
  <c r="G71" i="1"/>
  <c r="C71" i="1"/>
  <c r="B71" i="1"/>
  <c r="G70" i="1"/>
  <c r="C70" i="1"/>
  <c r="B70" i="1"/>
  <c r="G69" i="1"/>
  <c r="C69" i="1"/>
  <c r="B69" i="1"/>
  <c r="G68" i="1"/>
  <c r="C68" i="1"/>
  <c r="B68" i="1"/>
  <c r="G67" i="1"/>
  <c r="C67" i="1"/>
  <c r="B67" i="1"/>
  <c r="G66" i="1"/>
  <c r="C66" i="1"/>
  <c r="B66" i="1"/>
  <c r="G65" i="1"/>
  <c r="C65" i="1"/>
  <c r="B65" i="1"/>
  <c r="G64" i="1"/>
  <c r="C64" i="1"/>
  <c r="B64" i="1"/>
  <c r="G63" i="1"/>
  <c r="C63" i="1"/>
  <c r="B63" i="1"/>
  <c r="G62" i="1"/>
  <c r="C62" i="1"/>
  <c r="B62" i="1"/>
  <c r="G61" i="1"/>
  <c r="C61" i="1"/>
  <c r="B61" i="1"/>
  <c r="G60" i="1"/>
  <c r="C60" i="1"/>
  <c r="B60" i="1"/>
  <c r="G59" i="1"/>
  <c r="C59" i="1"/>
  <c r="B59" i="1"/>
  <c r="G58" i="1"/>
  <c r="C58" i="1"/>
  <c r="B58" i="1"/>
  <c r="G57" i="1"/>
  <c r="C57" i="1"/>
  <c r="B57" i="1"/>
  <c r="G56" i="1"/>
  <c r="C56" i="1"/>
  <c r="B56" i="1"/>
  <c r="G55" i="1"/>
  <c r="C55" i="1"/>
  <c r="B55" i="1"/>
  <c r="G54" i="1"/>
  <c r="C54" i="1"/>
  <c r="B54" i="1"/>
  <c r="G53" i="1"/>
  <c r="C53" i="1"/>
  <c r="B53" i="1"/>
  <c r="G52" i="1"/>
  <c r="C52" i="1"/>
  <c r="B52" i="1"/>
  <c r="G51" i="1"/>
  <c r="C51" i="1"/>
  <c r="B51" i="1"/>
  <c r="G50" i="1"/>
  <c r="C50" i="1"/>
  <c r="B50" i="1"/>
  <c r="G49" i="1"/>
  <c r="C49" i="1"/>
  <c r="B49" i="1"/>
  <c r="G48" i="1"/>
  <c r="C48" i="1"/>
  <c r="B48" i="1"/>
  <c r="G47" i="1"/>
  <c r="C47" i="1"/>
  <c r="B47" i="1"/>
  <c r="G46" i="1"/>
  <c r="C46" i="1"/>
  <c r="B46" i="1"/>
  <c r="G45" i="1"/>
  <c r="C45" i="1"/>
  <c r="B45" i="1"/>
  <c r="F44" i="1"/>
  <c r="G44" i="1" s="1"/>
  <c r="C44" i="1"/>
  <c r="B44" i="1"/>
  <c r="F43" i="1"/>
  <c r="G43" i="1" s="1"/>
  <c r="C43" i="1"/>
  <c r="B43" i="1"/>
  <c r="F42" i="1"/>
  <c r="G42" i="1" s="1"/>
  <c r="C42" i="1"/>
  <c r="B42" i="1"/>
  <c r="F41" i="1"/>
  <c r="G41" i="1" s="1"/>
  <c r="C41" i="1"/>
  <c r="B41" i="1"/>
  <c r="F40" i="1"/>
  <c r="G40" i="1" s="1"/>
  <c r="C40" i="1"/>
  <c r="B40" i="1"/>
  <c r="F39" i="1"/>
  <c r="G39" i="1" s="1"/>
  <c r="C39" i="1"/>
  <c r="B39" i="1"/>
  <c r="F38" i="1"/>
  <c r="G38" i="1" s="1"/>
  <c r="C38" i="1"/>
  <c r="B38" i="1"/>
  <c r="F37" i="1"/>
  <c r="G37" i="1" s="1"/>
  <c r="C37" i="1"/>
  <c r="B37" i="1"/>
  <c r="F36" i="1"/>
  <c r="G36" i="1" s="1"/>
  <c r="C36" i="1"/>
  <c r="B36" i="1"/>
  <c r="F35" i="1"/>
  <c r="G35" i="1" s="1"/>
  <c r="C35" i="1"/>
  <c r="B35" i="1"/>
  <c r="F34" i="1"/>
  <c r="G34" i="1" s="1"/>
  <c r="C34" i="1"/>
  <c r="B34" i="1"/>
  <c r="F33" i="1"/>
  <c r="G33" i="1" s="1"/>
  <c r="C33" i="1"/>
  <c r="B33" i="1"/>
  <c r="F32" i="1"/>
  <c r="G32" i="1" s="1"/>
  <c r="C32" i="1"/>
  <c r="B32" i="1"/>
  <c r="F31" i="1"/>
  <c r="G31" i="1" s="1"/>
  <c r="C31" i="1"/>
  <c r="B31" i="1"/>
  <c r="F30" i="1"/>
  <c r="G30" i="1" s="1"/>
  <c r="C30" i="1"/>
  <c r="B30" i="1"/>
  <c r="F29" i="1"/>
  <c r="G29" i="1" s="1"/>
  <c r="C29" i="1"/>
  <c r="B29" i="1"/>
  <c r="F28" i="1"/>
  <c r="G28" i="1" s="1"/>
  <c r="C28" i="1"/>
  <c r="B28" i="1"/>
  <c r="F27" i="1"/>
  <c r="G27" i="1" s="1"/>
  <c r="C27" i="1"/>
  <c r="B27" i="1"/>
  <c r="F26" i="1"/>
  <c r="G26" i="1" s="1"/>
  <c r="C26" i="1"/>
  <c r="B26" i="1"/>
  <c r="F25" i="1"/>
  <c r="G25" i="1" s="1"/>
  <c r="C25" i="1"/>
  <c r="B25" i="1"/>
  <c r="F24" i="1"/>
  <c r="G24" i="1" s="1"/>
  <c r="C24" i="1"/>
  <c r="B24" i="1"/>
  <c r="F23" i="1"/>
  <c r="G23" i="1" s="1"/>
  <c r="C23" i="1"/>
  <c r="B23" i="1"/>
  <c r="F22" i="1"/>
  <c r="G22" i="1" s="1"/>
  <c r="C22" i="1"/>
  <c r="B22" i="1"/>
  <c r="F21" i="1"/>
  <c r="G21" i="1" s="1"/>
  <c r="C21" i="1"/>
  <c r="B21" i="1"/>
  <c r="F20" i="1"/>
  <c r="G20" i="1" s="1"/>
  <c r="C20" i="1"/>
  <c r="B20" i="1"/>
  <c r="F19" i="1"/>
  <c r="G19" i="1" s="1"/>
  <c r="C19" i="1"/>
  <c r="B19" i="1"/>
  <c r="F18" i="1"/>
  <c r="G18" i="1" s="1"/>
  <c r="C18" i="1"/>
  <c r="B18" i="1"/>
  <c r="F17" i="1"/>
  <c r="G17" i="1" s="1"/>
  <c r="C17" i="1"/>
  <c r="B17" i="1"/>
  <c r="F16" i="1"/>
  <c r="G16" i="1" s="1"/>
  <c r="C16" i="1"/>
  <c r="B16" i="1"/>
  <c r="F15" i="1"/>
  <c r="G15" i="1" s="1"/>
  <c r="C15" i="1"/>
  <c r="B15" i="1"/>
  <c r="F14" i="1"/>
  <c r="G14" i="1" s="1"/>
  <c r="C14" i="1"/>
  <c r="B14" i="1"/>
  <c r="F13" i="1"/>
  <c r="G13" i="1" s="1"/>
  <c r="C13" i="1"/>
  <c r="B13" i="1"/>
  <c r="F12" i="1"/>
  <c r="G12" i="1" s="1"/>
  <c r="C12" i="1"/>
  <c r="B12" i="1"/>
  <c r="F11" i="1"/>
  <c r="G11" i="1" s="1"/>
  <c r="C11" i="1"/>
  <c r="B11" i="1"/>
  <c r="F10" i="1"/>
  <c r="G10" i="1" s="1"/>
  <c r="C10" i="1"/>
  <c r="B10" i="1"/>
  <c r="F9" i="1"/>
  <c r="G9" i="1" s="1"/>
  <c r="C9" i="1"/>
  <c r="B9" i="1"/>
  <c r="F7" i="1"/>
  <c r="F3" i="1"/>
  <c r="F4" i="1" s="1"/>
  <c r="F6" i="1" l="1"/>
  <c r="F5" i="1"/>
</calcChain>
</file>

<file path=xl/sharedStrings.xml><?xml version="1.0" encoding="utf-8"?>
<sst xmlns="http://schemas.openxmlformats.org/spreadsheetml/2006/main" count="207" uniqueCount="173">
  <si>
    <t>RINA Internship Work Hour Log – PRT604</t>
  </si>
  <si>
    <t>Internship start date</t>
  </si>
  <si>
    <t>Total logged hours</t>
  </si>
  <si>
    <t>Required PRT604 hours</t>
  </si>
  <si>
    <t>Remaining hours</t>
  </si>
  <si>
    <t>Milestone length</t>
  </si>
  <si>
    <t>4 weeks each</t>
  </si>
  <si>
    <t>% of required hours</t>
  </si>
  <si>
    <t>Milestone coverage</t>
  </si>
  <si>
    <t>4 milestones / 16 weeks</t>
  </si>
  <si>
    <t>Current milestone</t>
  </si>
  <si>
    <t>Important note</t>
  </si>
  <si>
    <t>Milestone totals must match the final Unit report.</t>
  </si>
  <si>
    <t>Latest logged date</t>
  </si>
  <si>
    <t>Date</t>
  </si>
  <si>
    <t>Week</t>
  </si>
  <si>
    <t>Milestone</t>
  </si>
  <si>
    <t>Work activity / evidence</t>
  </si>
  <si>
    <t>Hours</t>
  </si>
  <si>
    <t>Cumulative hours</t>
  </si>
  <si>
    <t>Initial meeting with Prof. Stephen about internship scope</t>
  </si>
  <si>
    <t>Home reading: reviewed internship brief and noted project scope/evidence requirements</t>
  </si>
  <si>
    <t>Industry meeting with Lyndal Hugo about Orlar and project scope</t>
  </si>
  <si>
    <t>Home reading: reviewed Orlar background and germination trial notes</t>
  </si>
  <si>
    <t>Meeting with Prof. Stephen about work process and planning</t>
  </si>
  <si>
    <t>Home preparation: reviewed planned work process and organised notes/hours/evidence</t>
  </si>
  <si>
    <t>Meeting with group members about work process</t>
  </si>
  <si>
    <t>Home preparation: reviewed basic image-capture materials and notes for upcoming training</t>
  </si>
  <si>
    <t>Meeting with Prof. Stephen</t>
  </si>
  <si>
    <t>Meeting with Pablo about drone instructions and image capture / understanding the image-processing workflow</t>
  </si>
  <si>
    <t>Organised drone image files and reviewed the DJI naming convention and band labels</t>
  </si>
  <si>
    <t>Extracted and checked sample drone image sets; compared RGB and false-colour preview images</t>
  </si>
  <si>
    <t>Read notes on multispectral bands and vegetation indices relevant to Mavic 3M images</t>
  </si>
  <si>
    <t>Wrote an initial Python exercise to parse DJI filenames and group images by timestamp and image number</t>
  </si>
  <si>
    <t>Practised loading TIF multispectral bands and checking image dimensions and metadata</t>
  </si>
  <si>
    <t>Created a basic RGB, Green, Red, Red Edge and NIR comparison figure for a sample image set</t>
  </si>
  <si>
    <t>Drafted simple notes on why the F preview image should not be used for quantitative analysis</t>
  </si>
  <si>
    <t>Implemented a sample NDVI calculation using the NIR and Red bands</t>
  </si>
  <si>
    <t>Implemented a sample NDRE calculation using the NIR and Red Edge bands</t>
  </si>
  <si>
    <t>Tested simple vegetation-mask thresholds and reviewed false positives</t>
  </si>
  <si>
    <t>Meeting with group members to discuss the image-processing workflow and next steps</t>
  </si>
  <si>
    <t>Calculated basic vegetation-pixel / canopy-cover percentage for sample images</t>
  </si>
  <si>
    <t>Organised code/notebook outputs and screenshots for internship evidence</t>
  </si>
  <si>
    <t>Prepared Milestone 2 bullet points and weekly checkpoint notes</t>
  </si>
  <si>
    <t>Reviewed limitations of the test images and noted next steps for the germination-tray workflow</t>
  </si>
  <si>
    <t>Cleaned folders and updated the timesheet and evidence records</t>
  </si>
  <si>
    <t>Consolidated total hours and aligned the Milestone 2 report with the logbook</t>
  </si>
  <si>
    <t>Group Meeting</t>
  </si>
  <si>
    <t>Fieldwork (Developing seedling base for trial)</t>
  </si>
  <si>
    <t>Reminder</t>
  </si>
  <si>
    <t>For PRT604 submission, the Excel summary of work experience should be submitted with the PDF report, and the hour totals in milestone reports should match the final report.</t>
  </si>
  <si>
    <t>How to use</t>
  </si>
  <si>
    <t>Add each work session from row 9 onward. Enter only Date, Work activity, Hours, Category, Status and Notes. Week, Milestone, Cumulative Hours and Remaining Hours update automatically.</t>
  </si>
  <si>
    <t>Milestone rule</t>
  </si>
  <si>
    <t>Each milestone is treated as a 4-week block: M1 weeks 1–4, M2 weeks 5–8, M3 weeks 9–12, M4 weeks 13–16.</t>
  </si>
  <si>
    <t>RINA Internship Milestone Summary</t>
  </si>
  <si>
    <t>Week range</t>
  </si>
  <si>
    <t>Start date</t>
  </si>
  <si>
    <t>End date</t>
  </si>
  <si>
    <t>Report/sign-off checkpoint</t>
  </si>
  <si>
    <t>Suggested focus</t>
  </si>
  <si>
    <t>Target hours</t>
  </si>
  <si>
    <t>Actual hours</t>
  </si>
  <si>
    <t>Progress vs target</t>
  </si>
  <si>
    <t>Remaining to 270</t>
  </si>
  <si>
    <t>Status</t>
  </si>
  <si>
    <t>Milestone 1</t>
  </si>
  <si>
    <t>Weeks 1-4</t>
  </si>
  <si>
    <t>End of Week 4; obtain supervisor signature</t>
  </si>
  <si>
    <t>Orientation, protocol understanding, logging structure, initial meetings and trial planning.</t>
  </si>
  <si>
    <t>Milestone 2</t>
  </si>
  <si>
    <t>Weeks 5-8</t>
  </si>
  <si>
    <t>End of Week 8; obtain supervisor signature</t>
  </si>
  <si>
    <t>Drone image review, DJI band/naming exercise, Python file grouping, basic multispectral indices, vegetation mask and evidence notes.</t>
  </si>
  <si>
    <t>Milestone 3</t>
  </si>
  <si>
    <t>Weeks 9-12</t>
  </si>
  <si>
    <t>End of Week 12; obtain supervisor signature</t>
  </si>
  <si>
    <t>Growth metrics, germination analysis, data integration, visualisation and interim findings.</t>
  </si>
  <si>
    <t>Milestone 4</t>
  </si>
  <si>
    <t>Weeks 13-16</t>
  </si>
  <si>
    <t>End of Week 16; obtain supervisor signature</t>
  </si>
  <si>
    <t>Pipeline refinement, reproducibility, final evidence collation, final report alignment.</t>
  </si>
  <si>
    <t>Key PRT604 requirement notes</t>
  </si>
  <si>
    <t>Minimum work experience hours required</t>
  </si>
  <si>
    <t>270 hours</t>
  </si>
  <si>
    <t>Minimum duration</t>
  </si>
  <si>
    <t>12 weeks or more if required</t>
  </si>
  <si>
    <t>Consistency rule</t>
  </si>
  <si>
    <t>Total hours claimed in milestone reports must match the final Unit report.</t>
  </si>
  <si>
    <t>RINA Internship 16-Week Planner by Milestone</t>
  </si>
  <si>
    <t>Suggested weekly focus</t>
  </si>
  <si>
    <t>Planned hours</t>
  </si>
  <si>
    <t>Notes</t>
  </si>
  <si>
    <t>Week 1</t>
  </si>
  <si>
    <t>Confirm supervisor expectations, scope, safety, PRT604 logging and evidence requirements.</t>
  </si>
  <si>
    <t>Initial meeting and orientation.</t>
  </si>
  <si>
    <t>Week 2</t>
  </si>
  <si>
    <t>Review Orlar/RINA germination protocol; clarify treatment groups and data to collect.</t>
  </si>
  <si>
    <t>Industry/project context meeting.</t>
  </si>
  <si>
    <t>Week 3</t>
  </si>
  <si>
    <t>Design folder structure, image naming convention and raw data sheet format.</t>
  </si>
  <si>
    <t>Follow-up meeting and planning.</t>
  </si>
  <si>
    <t>Week 4</t>
  </si>
  <si>
    <t>Prepare Milestone 1 report; confirm early evidence and supervisor sign-off.</t>
  </si>
  <si>
    <t>Group and supervisor meetings.</t>
  </si>
  <si>
    <t>Week 5</t>
  </si>
  <si>
    <t>Support trial setup; define fixed camera position, lighting and capture timing.</t>
  </si>
  <si>
    <t>Drone instruction, band naming review and file organisation.</t>
  </si>
  <si>
    <t>Week 6</t>
  </si>
  <si>
    <t>Capture sample images; begin preprocessing, segmentation and feature extraction trials.</t>
  </si>
  <si>
    <t>Python file grouping, band loading and comparison figure exercises.</t>
  </si>
  <si>
    <t>Week 7</t>
  </si>
  <si>
    <t>Compare image-derived germination counts against manual observations.</t>
  </si>
  <si>
    <t>NDVI, NDRE, vegetation mask and canopy-cover exercises.</t>
  </si>
  <si>
    <t>Week 8</t>
  </si>
  <si>
    <t>Prepare Milestone 2 report; document pipeline status and issues.</t>
  </si>
  <si>
    <t>Evidence organisation, milestone notes and logbook alignment.</t>
  </si>
  <si>
    <t>Week 9</t>
  </si>
  <si>
    <t>Develop canopy cover, colour index and simple height-proxy metrics.</t>
  </si>
  <si>
    <t>Week 10</t>
  </si>
  <si>
    <t>Week 11</t>
  </si>
  <si>
    <t>Build visualisations for germination, growth and treatment comparison.</t>
  </si>
  <si>
    <t>Week 12</t>
  </si>
  <si>
    <t>Prepare Milestone 3 report; summarize interim findings and evidence.</t>
  </si>
  <si>
    <t>Week 13</t>
  </si>
  <si>
    <t>Refine computer vision method and error handling for abnormal/stressed seedlings.</t>
  </si>
  <si>
    <t>Week 14</t>
  </si>
  <si>
    <t>Create reproducible scripts/notebook documentation and clean outputs.</t>
  </si>
  <si>
    <t>Week 15</t>
  </si>
  <si>
    <t>Draft final professional practice reflection using ICT/ACS competency framing.</t>
  </si>
  <si>
    <t>Week 16</t>
  </si>
  <si>
    <t>Complete Milestone 4/final check; reconcile all hours with final Unit report.</t>
  </si>
  <si>
    <t>Source Notes / Requirements Used</t>
  </si>
  <si>
    <t>Source</t>
  </si>
  <si>
    <t>What it says / how it was used</t>
  </si>
  <si>
    <t>Spreadsheet impact</t>
  </si>
  <si>
    <t>Source link / file</t>
  </si>
  <si>
    <t>Unit Info- PRT604-2026- Masters of IT.pdf</t>
  </si>
  <si>
    <t>PRT604 requires at least 270 hours of professional experience. Students must pass 12 weeks or more if required. Milestone reports are required, and the total hours claimed in Milestones must match the final Unit report.</t>
  </si>
  <si>
    <t>Workbook tracks 270-hour target, weekly/milestone hours, and final consistency.</t>
  </si>
  <si>
    <t>Uploaded PDF file</t>
  </si>
  <si>
    <t>Used</t>
  </si>
  <si>
    <t>Interdisciplinary Placement Ad RINA.docx</t>
  </si>
  <si>
    <t>Internship includes controlled germination trials, structured image acquisition, computer vision for seedlings/growth/stress, sensor-data integration, automation, visualisation and documentation.</t>
  </si>
  <si>
    <t>Weekly planner focuses on trial setup, image acquisition, CV/data pipeline and reporting.</t>
  </si>
  <si>
    <t>Uploaded DOCX file</t>
  </si>
  <si>
    <t>LGH 240226 Germination Trials Singapore.docx</t>
  </si>
  <si>
    <t>Protocol-style reference with 12 trays, daily seedling counts, height measurement, top-down photos, fixed capture setup and environmental data.</t>
  </si>
  <si>
    <t>Supports image-capture and data-collection focus areas.</t>
  </si>
  <si>
    <t>Gemini Google Doc</t>
  </si>
  <si>
    <t>Helpful Gemini-generated internship information was linked by the user, but the browser view only showed a Google Docs page requiring JavaScript/sign-in and did not expose the document body.</t>
  </si>
  <si>
    <t>Not used in formulas/content yet. Upload/export the doc as PDF/DOCX/TXT to incorporate it properly.</t>
  </si>
  <si>
    <t>https://docs.google.com/document/d/13I5oMjiyUcV5M1231fY6c1mIlTHwlI1lBt_aEyujOiE/edit?usp=sharing</t>
  </si>
  <si>
    <t>Pending content access</t>
  </si>
  <si>
    <t>Mock trial: photographed Microbes and No Microbes trays and recorded treatment labels, capture condition and visual observations</t>
  </si>
  <si>
    <t>Organised first-trial RGB images into treatment folders; checked original pixel images and planned image-inventory outputs</t>
  </si>
  <si>
    <t>Python exercise: created image-inventory and treatment-labelling workflow for the first trial and reviewed metadata / real pixel-value needs</t>
  </si>
  <si>
    <t>Reading suggested by Prof. Stephen: reflectance, incoming light intensity, image condition/status and limitations of RGB photography</t>
  </si>
  <si>
    <t>Reading/practice: remote-sensing vegetation-index calculations, NDVI/NDRE concepts and why true indices need multispectral bands</t>
  </si>
  <si>
    <t>Behind planning target</t>
  </si>
  <si>
    <t>On track for milestone</t>
  </si>
  <si>
    <t>In progress</t>
  </si>
  <si>
    <t>Not started</t>
  </si>
  <si>
    <t>Supervisor and group meetings.</t>
  </si>
  <si>
    <t>Mock trial setup, treatment image capture, RGB image workflow, reflectance/vegetation-index reading and evidence notes.</t>
  </si>
  <si>
    <t>Field trial setup, mock-trial image capture, RGB image organisation, Prof Stephen reading topics and Milestone 3 evidence notes.</t>
  </si>
  <si>
    <t>Prof Stephen suggested readings / image-analysis topics</t>
  </si>
  <si>
    <t>Reflectance, incoming light intensity, generating reflectance-style images, suitable image condition/status, remote-sensing vegetation-index calculations, digital photography and real pixel values.</t>
  </si>
  <si>
    <t>Supports Milestone 3 reading/logbook entries and the first-trial RGB image-analysis plan.</t>
  </si>
  <si>
    <t>Supervisor guidance / user input</t>
  </si>
  <si>
    <t>Fieldwork (First Trial)</t>
  </si>
  <si>
    <t xml:space="preserve">Drone Setup/Trial Image Capture/Meeting with Prof. Stephen </t>
  </si>
  <si>
    <t>Drone Setup/Trial Image Capture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</si>
</sst>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
    <numFmt numFmtId="167" formatCode="dd/mm/yyyy"/>
  </numFmts>
  <fonts count="8" x14ac:knownFonts="1">
    <font>
      <sz val="11"/>
      <color theme="1"/>
      <name val="Calibri"/>
    </font>
    <font>
      <sz val="12"/>
      <color theme="1"/>
      <name val="Times New Roman"/>
    </font>
    <font>
      <b/>
      <sz val="16"/>
      <color rgb="FFFFFFFF"/>
      <name val="Calibri"/>
    </font>
    <font>
      <b/>
      <sz val="11"/>
      <color rgb="FF1F4E78"/>
      <name val="Calibri"/>
    </font>
    <font>
      <b/>
      <sz val="11"/>
      <color theme="1"/>
      <name val="Calibri"/>
    </font>
    <font>
      <b/>
      <sz val="11"/>
      <color rgb="FFFFFFFF"/>
      <name val="Calibri"/>
    </font>
    <font>
      <i/>
      <sz val="11"/>
      <color rgb="FF555555"/>
      <name val="Calibri"/>
    </font>
    <font>
      <sz val="11"/>
      <color theme="1"/>
      <name val="Calibri"/>
      <family val="2"/>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5B9BD5"/>
      </patternFill>
    </fill>
    <fill>
      <patternFill patternType="solid">
        <fgColor rgb="FFF2F2F2"/>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center" vertical="center"/>
    </xf>
    <xf numFmtId="0" fontId="0" fillId="0" borderId="0" xfId="0" applyAlignment="1">
      <alignment horizontal="center"/>
    </xf>
    <xf numFmtId="0" fontId="3" fillId="3" borderId="0" xfId="0" applyFont="1" applyFill="1" applyAlignment="1">
      <alignment horizontal="left" vertical="center" wrapText="1"/>
    </xf>
    <xf numFmtId="0" fontId="0" fillId="0" borderId="0" xfId="0" applyAlignment="1">
      <alignment wrapText="1"/>
    </xf>
    <xf numFmtId="0" fontId="0" fillId="0" borderId="0" xfId="0" applyAlignment="1">
      <alignment horizontal="center" vertical="center" wrapText="1"/>
    </xf>
    <xf numFmtId="165" fontId="0" fillId="0" borderId="0" xfId="0" applyNumberFormat="1" applyAlignment="1">
      <alignment horizontal="center" vertical="center" wrapText="1"/>
    </xf>
    <xf numFmtId="166" fontId="0" fillId="0" borderId="0" xfId="0" applyNumberFormat="1" applyAlignment="1">
      <alignment horizontal="center" vertical="center" wrapText="1"/>
    </xf>
    <xf numFmtId="164" fontId="0" fillId="0" borderId="0" xfId="0" applyNumberFormat="1" applyAlignment="1">
      <alignment horizontal="center" vertical="center" wrapText="1"/>
    </xf>
    <xf numFmtId="0" fontId="5" fillId="5" borderId="0" xfId="0" applyFont="1" applyFill="1" applyAlignment="1">
      <alignment horizontal="center" vertical="center" wrapText="1"/>
    </xf>
    <xf numFmtId="165" fontId="0" fillId="0" borderId="0" xfId="0" applyNumberFormat="1" applyAlignment="1">
      <alignment wrapText="1"/>
    </xf>
    <xf numFmtId="164" fontId="0" fillId="0" borderId="0" xfId="0" applyNumberFormat="1" applyAlignment="1">
      <alignment vertical="center" wrapText="1"/>
    </xf>
    <xf numFmtId="0" fontId="0" fillId="0" borderId="0" xfId="0" applyAlignment="1">
      <alignment vertical="center" wrapText="1"/>
    </xf>
    <xf numFmtId="165" fontId="0" fillId="0" borderId="0" xfId="0" applyNumberFormat="1" applyAlignment="1">
      <alignment vertical="center" wrapText="1"/>
    </xf>
    <xf numFmtId="0" fontId="6" fillId="6" borderId="0" xfId="0" applyFont="1" applyFill="1" applyAlignment="1">
      <alignment wrapText="1"/>
    </xf>
    <xf numFmtId="166" fontId="0" fillId="0" borderId="0" xfId="0" applyNumberFormat="1" applyAlignment="1">
      <alignment wrapText="1"/>
    </xf>
    <xf numFmtId="167" fontId="0" fillId="0" borderId="0" xfId="0" applyNumberFormat="1" applyAlignment="1">
      <alignment vertical="center" wrapText="1"/>
    </xf>
    <xf numFmtId="167" fontId="0" fillId="0" borderId="0" xfId="0" applyNumberFormat="1" applyAlignment="1">
      <alignment wrapText="1"/>
    </xf>
    <xf numFmtId="0" fontId="7" fillId="0" borderId="0" xfId="0" applyFont="1" applyAlignment="1">
      <alignment vertical="center" wrapText="1"/>
    </xf>
    <xf numFmtId="0" fontId="2" fillId="2" borderId="0" xfId="0" applyFont="1" applyFill="1" applyAlignment="1">
      <alignment horizontal="center" vertical="center"/>
    </xf>
    <xf numFmtId="0" fontId="3" fillId="3" borderId="0" xfId="0" applyFont="1" applyFill="1" applyAlignment="1">
      <alignment horizontal="left" vertical="center" wrapText="1"/>
    </xf>
    <xf numFmtId="0" fontId="6" fillId="6" borderId="0" xfId="0" applyFont="1" applyFill="1" applyAlignment="1">
      <alignment wrapText="1"/>
    </xf>
    <xf numFmtId="0" fontId="4" fillId="4" borderId="0" xfId="0" applyFont="1" applyFill="1" applyAlignment="1">
      <alignment horizontal="center" vertical="center" wrapText="1"/>
    </xf>
    <xf numFmtId="0" fontId="0" fillId="0" borderId="0" xfId="0" applyAlignment="1">
      <alignment wrapText="1"/>
    </xf>
    <xf numFmtId="164" fontId="4" fillId="4" borderId="0" xfId="0" applyNumberFormat="1" applyFont="1" applyFill="1" applyAlignment="1">
      <alignment horizontal="center" vertical="center" wrapText="1"/>
    </xf>
    <xf numFmtId="1" fontId="4" fillId="4" borderId="0" xfId="0" applyNumberFormat="1" applyFont="1" applyFill="1" applyAlignment="1">
      <alignment horizontal="center" vertical="center" wrapText="1"/>
    </xf>
  </cellXfs>
  <cellStyles count="1">
    <cellStyle name="Normal" xfId="0" builtinId="0"/>
  </cellStyles>
  <dxfs count="2">
    <dxf>
      <fill>
        <patternFill>
          <bgColor rgb="FFE2F0D9"/>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ursLogTable" displayName="HoursLogTable" ref="A8:G159">
  <tableColumns count="7">
    <tableColumn id="1" xr3:uid="{00000000-0010-0000-0000-000001000000}" name="Date"/>
    <tableColumn id="2" xr3:uid="{00000000-0010-0000-0000-000002000000}" name="Week"/>
    <tableColumn id="3" xr3:uid="{00000000-0010-0000-0000-000003000000}" name="Milestone"/>
    <tableColumn id="4" xr3:uid="{00000000-0010-0000-0000-000004000000}" name="Work activity / evidence"/>
    <tableColumn id="5" xr3:uid="{00000000-0010-0000-0000-000005000000}" name="Hours"/>
    <tableColumn id="6" xr3:uid="{00000000-0010-0000-0000-000006000000}" name="Cumulative hours"/>
    <tableColumn id="7" xr3:uid="{00000000-0010-0000-0000-000007000000}" name="Remaining hou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ilestoneSummaryTable" displayName="MilestoneSummaryTable" ref="A3:L7">
  <tableColumns count="12">
    <tableColumn id="1" xr3:uid="{00000000-0010-0000-0100-000001000000}" name="Milestone"/>
    <tableColumn id="2" xr3:uid="{00000000-0010-0000-0100-000002000000}" name="Week range"/>
    <tableColumn id="3" xr3:uid="{00000000-0010-0000-0100-000003000000}" name="Start date"/>
    <tableColumn id="4" xr3:uid="{00000000-0010-0000-0100-000004000000}" name="End date"/>
    <tableColumn id="5" xr3:uid="{00000000-0010-0000-0100-000005000000}" name="Report/sign-off checkpoint"/>
    <tableColumn id="6" xr3:uid="{00000000-0010-0000-0100-000006000000}" name="Suggested focus"/>
    <tableColumn id="7" xr3:uid="{00000000-0010-0000-0100-000007000000}" name="Target hours"/>
    <tableColumn id="8" xr3:uid="{00000000-0010-0000-0100-000008000000}" name="Actual hours"/>
    <tableColumn id="9" xr3:uid="{00000000-0010-0000-0100-000009000000}" name="Progress vs target"/>
    <tableColumn id="10" xr3:uid="{00000000-0010-0000-0100-00000A000000}" name="Cumulative hours"/>
    <tableColumn id="11" xr3:uid="{00000000-0010-0000-0100-00000B000000}" name="Remaining to 270"/>
    <tableColumn id="12" xr3:uid="{00000000-0010-0000-0100-00000C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PlannerTable" displayName="WeekPlannerTable" ref="A3:I19">
  <tableColumns count="9">
    <tableColumn id="1" xr3:uid="{00000000-0010-0000-0200-000001000000}" name="Week"/>
    <tableColumn id="2" xr3:uid="{00000000-0010-0000-0200-000002000000}" name="Start date"/>
    <tableColumn id="3" xr3:uid="{00000000-0010-0000-0200-000003000000}" name="End date"/>
    <tableColumn id="4" xr3:uid="{00000000-0010-0000-0200-000004000000}" name="Milestone"/>
    <tableColumn id="5" xr3:uid="{00000000-0010-0000-0200-000005000000}" name="Suggested weekly focus"/>
    <tableColumn id="6" xr3:uid="{00000000-0010-0000-0200-000006000000}" name="Planned hours"/>
    <tableColumn id="7" xr3:uid="{00000000-0010-0000-0200-000007000000}" name="Actual hours"/>
    <tableColumn id="8" xr3:uid="{00000000-0010-0000-0200-000008000000}" name="Cumulative hours"/>
    <tableColumn id="9" xr3:uid="{00000000-0010-0000-0200-000009000000}" name="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3"/>
  <sheetViews>
    <sheetView tabSelected="1" topLeftCell="A42" workbookViewId="0">
      <selection activeCell="D50" sqref="D50"/>
    </sheetView>
  </sheetViews>
  <sheetFormatPr defaultRowHeight="15.6" x14ac:dyDescent="0.3"/>
  <cols>
    <col min="1" max="1" width="22" style="1" customWidth="1"/>
    <col min="2" max="2" width="12" style="1" customWidth="1"/>
    <col min="3" max="3" width="14" style="1" customWidth="1"/>
    <col min="4" max="4" width="79.5546875" style="2" customWidth="1"/>
    <col min="5" max="5" width="12.21875" style="2" customWidth="1"/>
    <col min="6" max="6" width="13" customWidth="1"/>
    <col min="7" max="7" width="15" customWidth="1"/>
  </cols>
  <sheetData>
    <row r="1" spans="1:7" ht="14.25" customHeight="1" x14ac:dyDescent="0.3">
      <c r="A1" s="19" t="s">
        <v>0</v>
      </c>
      <c r="B1" s="19"/>
      <c r="C1" s="19"/>
      <c r="D1" s="19"/>
      <c r="E1" s="19"/>
      <c r="F1" s="19"/>
      <c r="G1" s="19"/>
    </row>
    <row r="2" spans="1:7" ht="14.4" x14ac:dyDescent="0.3">
      <c r="A2"/>
      <c r="B2"/>
      <c r="C2"/>
      <c r="D2"/>
      <c r="E2"/>
    </row>
    <row r="3" spans="1:7" ht="27" customHeight="1" x14ac:dyDescent="0.3">
      <c r="A3" s="3" t="s">
        <v>1</v>
      </c>
      <c r="B3" s="24">
        <v>46116</v>
      </c>
      <c r="C3" s="22"/>
      <c r="D3" s="4"/>
      <c r="E3" s="3" t="s">
        <v>2</v>
      </c>
      <c r="F3" s="6">
        <f>SUM($E$9:$E$159)</f>
        <v>140.5</v>
      </c>
      <c r="G3" s="4"/>
    </row>
    <row r="4" spans="1:7" ht="26.4" customHeight="1" x14ac:dyDescent="0.3">
      <c r="A4" s="3" t="s">
        <v>3</v>
      </c>
      <c r="B4" s="25">
        <v>270</v>
      </c>
      <c r="C4" s="22"/>
      <c r="D4" s="4"/>
      <c r="E4" s="3" t="s">
        <v>4</v>
      </c>
      <c r="F4" s="6">
        <f>MAX(0,$B$4-F3)</f>
        <v>129.5</v>
      </c>
      <c r="G4" s="4"/>
    </row>
    <row r="5" spans="1:7" ht="16.649999999999999" customHeight="1" x14ac:dyDescent="0.3">
      <c r="A5" s="3" t="s">
        <v>5</v>
      </c>
      <c r="B5" s="22" t="s">
        <v>6</v>
      </c>
      <c r="C5" s="22"/>
      <c r="D5" s="23"/>
      <c r="E5" s="20" t="s">
        <v>7</v>
      </c>
      <c r="F5" s="7">
        <f>IF($B$4=0,"",F3/$B$4)</f>
        <v>0.52037037037037037</v>
      </c>
      <c r="G5" s="4"/>
    </row>
    <row r="6" spans="1:7" ht="16.649999999999999" customHeight="1" x14ac:dyDescent="0.3">
      <c r="A6" s="3" t="s">
        <v>8</v>
      </c>
      <c r="B6" s="22" t="s">
        <v>9</v>
      </c>
      <c r="C6" s="22"/>
      <c r="D6" s="23"/>
      <c r="E6" s="20" t="s">
        <v>10</v>
      </c>
      <c r="F6" s="5" t="str">
        <f>IFERROR(LOOKUP(2,1/($C$9:$C$159&lt;&gt;""),$C$9:$C$159),"")</f>
        <v>Milestone 3</v>
      </c>
      <c r="G6" s="4"/>
    </row>
    <row r="7" spans="1:7" ht="28.8" x14ac:dyDescent="0.3">
      <c r="A7" s="3" t="s">
        <v>11</v>
      </c>
      <c r="B7" s="22" t="s">
        <v>12</v>
      </c>
      <c r="C7" s="22"/>
      <c r="D7" s="4"/>
      <c r="E7" s="3" t="s">
        <v>13</v>
      </c>
      <c r="F7" s="8">
        <f>IFERROR(MAX($A$9:$A$159),"")</f>
        <v>46190</v>
      </c>
      <c r="G7" s="4"/>
    </row>
    <row r="8" spans="1:7" ht="28.8" x14ac:dyDescent="0.3">
      <c r="A8" s="9" t="s">
        <v>14</v>
      </c>
      <c r="B8" s="9" t="s">
        <v>15</v>
      </c>
      <c r="C8" s="9" t="s">
        <v>16</v>
      </c>
      <c r="D8" s="9" t="s">
        <v>17</v>
      </c>
      <c r="E8" s="9" t="s">
        <v>18</v>
      </c>
      <c r="F8" s="9" t="s">
        <v>19</v>
      </c>
      <c r="G8" s="9" t="s">
        <v>4</v>
      </c>
    </row>
    <row r="9" spans="1:7" ht="14.4" x14ac:dyDescent="0.3">
      <c r="A9" s="16">
        <v>46122</v>
      </c>
      <c r="B9" s="12" t="str">
        <f t="shared" ref="B9:B39" si="0">IF($A9="","", "Week "&amp;(INT(($A9-$B$3)/7)+1))</f>
        <v>Week 1</v>
      </c>
      <c r="C9" s="12" t="str">
        <f t="shared" ref="C9:C40" si="1">IF($A9="","", "Milestone "&amp;MIN(4,ROUNDUP((INT(($A9-$B$3)/7)+1)/4,0)))</f>
        <v>Milestone 1</v>
      </c>
      <c r="D9" s="12" t="s">
        <v>20</v>
      </c>
      <c r="E9" s="13">
        <v>1</v>
      </c>
      <c r="F9" s="13">
        <f>IF($A9="","",SUM($E$9:E9))</f>
        <v>1</v>
      </c>
      <c r="G9" s="13">
        <f t="shared" ref="G9:G40" si="2">IF($A9="","",MAX(0,$B$4-F9))</f>
        <v>269</v>
      </c>
    </row>
    <row r="10" spans="1:7" ht="14.4" x14ac:dyDescent="0.3">
      <c r="A10" s="16">
        <v>46122</v>
      </c>
      <c r="B10" s="12" t="str">
        <f t="shared" si="0"/>
        <v>Week 1</v>
      </c>
      <c r="C10" s="12" t="str">
        <f t="shared" si="1"/>
        <v>Milestone 1</v>
      </c>
      <c r="D10" s="12" t="s">
        <v>21</v>
      </c>
      <c r="E10" s="13">
        <v>2.5</v>
      </c>
      <c r="F10" s="13">
        <f>IF($A10="","",SUM($E$9:E10))</f>
        <v>3.5</v>
      </c>
      <c r="G10" s="13">
        <f t="shared" si="2"/>
        <v>266.5</v>
      </c>
    </row>
    <row r="11" spans="1:7" ht="14.4" x14ac:dyDescent="0.3">
      <c r="A11" s="16">
        <v>46129</v>
      </c>
      <c r="B11" s="12" t="str">
        <f t="shared" si="0"/>
        <v>Week 2</v>
      </c>
      <c r="C11" s="12" t="str">
        <f t="shared" si="1"/>
        <v>Milestone 1</v>
      </c>
      <c r="D11" s="12" t="s">
        <v>22</v>
      </c>
      <c r="E11" s="13">
        <v>1</v>
      </c>
      <c r="F11" s="13">
        <f>IF($A11="","",SUM($E$9:E11))</f>
        <v>4.5</v>
      </c>
      <c r="G11" s="13">
        <f t="shared" si="2"/>
        <v>265.5</v>
      </c>
    </row>
    <row r="12" spans="1:7" ht="14.4" x14ac:dyDescent="0.3">
      <c r="A12" s="16">
        <v>46129</v>
      </c>
      <c r="B12" s="12" t="str">
        <f t="shared" si="0"/>
        <v>Week 2</v>
      </c>
      <c r="C12" s="12" t="str">
        <f t="shared" si="1"/>
        <v>Milestone 1</v>
      </c>
      <c r="D12" s="12" t="s">
        <v>23</v>
      </c>
      <c r="E12" s="13">
        <v>3</v>
      </c>
      <c r="F12" s="13">
        <f>IF($A12="","",SUM($E$9:E12))</f>
        <v>7.5</v>
      </c>
      <c r="G12" s="13">
        <f t="shared" si="2"/>
        <v>262.5</v>
      </c>
    </row>
    <row r="13" spans="1:7" ht="14.4" x14ac:dyDescent="0.3">
      <c r="A13" s="16">
        <v>46135</v>
      </c>
      <c r="B13" s="12" t="str">
        <f t="shared" si="0"/>
        <v>Week 3</v>
      </c>
      <c r="C13" s="12" t="str">
        <f t="shared" si="1"/>
        <v>Milestone 1</v>
      </c>
      <c r="D13" s="12" t="s">
        <v>24</v>
      </c>
      <c r="E13" s="13">
        <v>1</v>
      </c>
      <c r="F13" s="13">
        <f>IF($A13="","",SUM($E$9:E13))</f>
        <v>8.5</v>
      </c>
      <c r="G13" s="13">
        <f t="shared" si="2"/>
        <v>261.5</v>
      </c>
    </row>
    <row r="14" spans="1:7" ht="14.4" x14ac:dyDescent="0.3">
      <c r="A14" s="16">
        <v>46136</v>
      </c>
      <c r="B14" s="12" t="str">
        <f t="shared" si="0"/>
        <v>Week 3</v>
      </c>
      <c r="C14" s="12" t="str">
        <f t="shared" si="1"/>
        <v>Milestone 1</v>
      </c>
      <c r="D14" s="12" t="s">
        <v>25</v>
      </c>
      <c r="E14" s="13">
        <v>2.5</v>
      </c>
      <c r="F14" s="13">
        <f>IF($A14="","",SUM($E$9:E14))</f>
        <v>11</v>
      </c>
      <c r="G14" s="13">
        <f t="shared" si="2"/>
        <v>259</v>
      </c>
    </row>
    <row r="15" spans="1:7" ht="14.4" x14ac:dyDescent="0.3">
      <c r="A15" s="16">
        <v>46141</v>
      </c>
      <c r="B15" s="12" t="str">
        <f t="shared" si="0"/>
        <v>Week 4</v>
      </c>
      <c r="C15" s="12" t="str">
        <f t="shared" si="1"/>
        <v>Milestone 1</v>
      </c>
      <c r="D15" s="12" t="s">
        <v>26</v>
      </c>
      <c r="E15" s="13">
        <v>1</v>
      </c>
      <c r="F15" s="13">
        <f>IF($A15="","",SUM($E$9:E15))</f>
        <v>12</v>
      </c>
      <c r="G15" s="13">
        <f t="shared" si="2"/>
        <v>258</v>
      </c>
    </row>
    <row r="16" spans="1:7" ht="14.4" x14ac:dyDescent="0.3">
      <c r="A16" s="16">
        <v>46142</v>
      </c>
      <c r="B16" s="12" t="str">
        <f t="shared" si="0"/>
        <v>Week 4</v>
      </c>
      <c r="C16" s="12" t="str">
        <f t="shared" si="1"/>
        <v>Milestone 1</v>
      </c>
      <c r="D16" s="12" t="s">
        <v>27</v>
      </c>
      <c r="E16" s="13">
        <v>3</v>
      </c>
      <c r="F16" s="13">
        <f>IF($A16="","",SUM($E$9:E16))</f>
        <v>15</v>
      </c>
      <c r="G16" s="13">
        <f t="shared" si="2"/>
        <v>255</v>
      </c>
    </row>
    <row r="17" spans="1:7" ht="14.4" x14ac:dyDescent="0.3">
      <c r="A17" s="16">
        <v>46143</v>
      </c>
      <c r="B17" s="12" t="str">
        <f t="shared" si="0"/>
        <v>Week 4</v>
      </c>
      <c r="C17" s="12" t="str">
        <f t="shared" si="1"/>
        <v>Milestone 1</v>
      </c>
      <c r="D17" s="12" t="s">
        <v>28</v>
      </c>
      <c r="E17" s="13">
        <v>1</v>
      </c>
      <c r="F17" s="13">
        <f>IF($A17="","",SUM($E$9:E17))</f>
        <v>16</v>
      </c>
      <c r="G17" s="13">
        <f t="shared" si="2"/>
        <v>254</v>
      </c>
    </row>
    <row r="18" spans="1:7" ht="28.8" x14ac:dyDescent="0.3">
      <c r="A18" s="16">
        <v>46148</v>
      </c>
      <c r="B18" s="12" t="str">
        <f t="shared" si="0"/>
        <v>Week 5</v>
      </c>
      <c r="C18" s="12" t="str">
        <f t="shared" si="1"/>
        <v>Milestone 2</v>
      </c>
      <c r="D18" s="12" t="s">
        <v>29</v>
      </c>
      <c r="E18" s="13">
        <v>1</v>
      </c>
      <c r="F18" s="13">
        <f>IF($A18="","",SUM($E$9:E18))</f>
        <v>17</v>
      </c>
      <c r="G18" s="13">
        <f t="shared" si="2"/>
        <v>253</v>
      </c>
    </row>
    <row r="19" spans="1:7" ht="14.4" x14ac:dyDescent="0.3">
      <c r="A19" s="16">
        <v>46149</v>
      </c>
      <c r="B19" s="12" t="str">
        <f t="shared" si="0"/>
        <v>Week 5</v>
      </c>
      <c r="C19" s="12" t="str">
        <f t="shared" si="1"/>
        <v>Milestone 2</v>
      </c>
      <c r="D19" s="12" t="s">
        <v>30</v>
      </c>
      <c r="E19" s="13">
        <v>4</v>
      </c>
      <c r="F19" s="13">
        <f>IF($A19="","",SUM($E$9:E19))</f>
        <v>21</v>
      </c>
      <c r="G19" s="13">
        <f t="shared" si="2"/>
        <v>249</v>
      </c>
    </row>
    <row r="20" spans="1:7" ht="28.8" x14ac:dyDescent="0.3">
      <c r="A20" s="16">
        <v>46150</v>
      </c>
      <c r="B20" s="12" t="str">
        <f t="shared" si="0"/>
        <v>Week 5</v>
      </c>
      <c r="C20" s="12" t="str">
        <f t="shared" si="1"/>
        <v>Milestone 2</v>
      </c>
      <c r="D20" s="12" t="s">
        <v>31</v>
      </c>
      <c r="E20" s="13">
        <v>3</v>
      </c>
      <c r="F20" s="13">
        <f>IF($A20="","",SUM($E$9:E20))</f>
        <v>24</v>
      </c>
      <c r="G20" s="13">
        <f t="shared" si="2"/>
        <v>246</v>
      </c>
    </row>
    <row r="21" spans="1:7" ht="14.4" x14ac:dyDescent="0.3">
      <c r="A21" s="16">
        <v>46150</v>
      </c>
      <c r="B21" s="12" t="str">
        <f t="shared" si="0"/>
        <v>Week 5</v>
      </c>
      <c r="C21" s="12" t="str">
        <f t="shared" si="1"/>
        <v>Milestone 2</v>
      </c>
      <c r="D21" s="12" t="s">
        <v>32</v>
      </c>
      <c r="E21" s="13">
        <v>4</v>
      </c>
      <c r="F21" s="13">
        <f>IF($A21="","",SUM($E$9:E21))</f>
        <v>28</v>
      </c>
      <c r="G21" s="13">
        <f t="shared" si="2"/>
        <v>242</v>
      </c>
    </row>
    <row r="22" spans="1:7" ht="28.8" x14ac:dyDescent="0.3">
      <c r="A22" s="16">
        <v>46152</v>
      </c>
      <c r="B22" s="12" t="str">
        <f t="shared" si="0"/>
        <v>Week 6</v>
      </c>
      <c r="C22" s="12" t="str">
        <f t="shared" si="1"/>
        <v>Milestone 2</v>
      </c>
      <c r="D22" s="12" t="s">
        <v>33</v>
      </c>
      <c r="E22" s="13">
        <v>6</v>
      </c>
      <c r="F22" s="13">
        <f>IF($A22="","",SUM($E$9:E22))</f>
        <v>34</v>
      </c>
      <c r="G22" s="13">
        <f t="shared" si="2"/>
        <v>236</v>
      </c>
    </row>
    <row r="23" spans="1:7" ht="14.4" x14ac:dyDescent="0.3">
      <c r="A23" s="16">
        <v>46153</v>
      </c>
      <c r="B23" s="12" t="str">
        <f t="shared" si="0"/>
        <v>Week 6</v>
      </c>
      <c r="C23" s="12" t="str">
        <f t="shared" si="1"/>
        <v>Milestone 2</v>
      </c>
      <c r="D23" s="12" t="s">
        <v>28</v>
      </c>
      <c r="E23" s="13">
        <v>1</v>
      </c>
      <c r="F23" s="13">
        <f>IF($A23="","",SUM($E$9:E23))</f>
        <v>35</v>
      </c>
      <c r="G23" s="13">
        <f t="shared" si="2"/>
        <v>235</v>
      </c>
    </row>
    <row r="24" spans="1:7" ht="14.4" x14ac:dyDescent="0.3">
      <c r="A24" s="16">
        <v>46153</v>
      </c>
      <c r="B24" s="12" t="str">
        <f t="shared" si="0"/>
        <v>Week 6</v>
      </c>
      <c r="C24" s="12" t="str">
        <f t="shared" si="1"/>
        <v>Milestone 2</v>
      </c>
      <c r="D24" s="12" t="s">
        <v>34</v>
      </c>
      <c r="E24" s="13">
        <v>5</v>
      </c>
      <c r="F24" s="13">
        <f>IF($A24="","",SUM($E$9:E24))</f>
        <v>40</v>
      </c>
      <c r="G24" s="13">
        <f t="shared" si="2"/>
        <v>230</v>
      </c>
    </row>
    <row r="25" spans="1:7" ht="14.4" x14ac:dyDescent="0.3">
      <c r="A25" s="16">
        <v>46154</v>
      </c>
      <c r="B25" s="12" t="str">
        <f t="shared" si="0"/>
        <v>Week 6</v>
      </c>
      <c r="C25" s="12" t="str">
        <f t="shared" si="1"/>
        <v>Milestone 2</v>
      </c>
      <c r="D25" s="12" t="s">
        <v>35</v>
      </c>
      <c r="E25" s="13">
        <v>4</v>
      </c>
      <c r="F25" s="13">
        <f>IF($A25="","",SUM($E$9:E25))</f>
        <v>44</v>
      </c>
      <c r="G25" s="13">
        <f t="shared" si="2"/>
        <v>226</v>
      </c>
    </row>
    <row r="26" spans="1:7" ht="14.4" x14ac:dyDescent="0.3">
      <c r="A26" s="16">
        <v>46156</v>
      </c>
      <c r="B26" s="12" t="str">
        <f t="shared" si="0"/>
        <v>Week 6</v>
      </c>
      <c r="C26" s="12" t="str">
        <f t="shared" si="1"/>
        <v>Milestone 2</v>
      </c>
      <c r="D26" s="12" t="s">
        <v>36</v>
      </c>
      <c r="E26" s="13">
        <v>3</v>
      </c>
      <c r="F26" s="13">
        <f>IF($A26="","",SUM($E$9:E26))</f>
        <v>47</v>
      </c>
      <c r="G26" s="13">
        <f t="shared" si="2"/>
        <v>223</v>
      </c>
    </row>
    <row r="27" spans="1:7" ht="14.4" x14ac:dyDescent="0.3">
      <c r="A27" s="16">
        <v>46158</v>
      </c>
      <c r="B27" s="12" t="str">
        <f t="shared" si="0"/>
        <v>Week 7</v>
      </c>
      <c r="C27" s="12" t="str">
        <f t="shared" si="1"/>
        <v>Milestone 2</v>
      </c>
      <c r="D27" s="12" t="s">
        <v>37</v>
      </c>
      <c r="E27" s="13">
        <v>6</v>
      </c>
      <c r="F27" s="13">
        <f>IF($A27="","",SUM($E$9:E27))</f>
        <v>53</v>
      </c>
      <c r="G27" s="13">
        <f t="shared" si="2"/>
        <v>217</v>
      </c>
    </row>
    <row r="28" spans="1:7" ht="14.4" x14ac:dyDescent="0.3">
      <c r="A28" s="16">
        <v>46159</v>
      </c>
      <c r="B28" s="12" t="str">
        <f t="shared" si="0"/>
        <v>Week 7</v>
      </c>
      <c r="C28" s="12" t="str">
        <f t="shared" si="1"/>
        <v>Milestone 2</v>
      </c>
      <c r="D28" s="12" t="s">
        <v>38</v>
      </c>
      <c r="E28" s="13">
        <v>5</v>
      </c>
      <c r="F28" s="13">
        <f>IF($A28="","",SUM($E$9:E28))</f>
        <v>58</v>
      </c>
      <c r="G28" s="13">
        <f t="shared" si="2"/>
        <v>212</v>
      </c>
    </row>
    <row r="29" spans="1:7" ht="14.4" x14ac:dyDescent="0.3">
      <c r="A29" s="16">
        <v>46160</v>
      </c>
      <c r="B29" s="12" t="str">
        <f t="shared" si="0"/>
        <v>Week 7</v>
      </c>
      <c r="C29" s="12" t="str">
        <f t="shared" si="1"/>
        <v>Milestone 2</v>
      </c>
      <c r="D29" s="12" t="s">
        <v>39</v>
      </c>
      <c r="E29" s="13">
        <v>6</v>
      </c>
      <c r="F29" s="13">
        <f>IF($A29="","",SUM($E$9:E29))</f>
        <v>64</v>
      </c>
      <c r="G29" s="13">
        <f t="shared" si="2"/>
        <v>206</v>
      </c>
    </row>
    <row r="30" spans="1:7" ht="14.4" x14ac:dyDescent="0.3">
      <c r="A30" s="16">
        <v>46161</v>
      </c>
      <c r="B30" s="12" t="str">
        <f t="shared" si="0"/>
        <v>Week 7</v>
      </c>
      <c r="C30" s="12" t="str">
        <f t="shared" si="1"/>
        <v>Milestone 2</v>
      </c>
      <c r="D30" s="12" t="s">
        <v>40</v>
      </c>
      <c r="E30" s="13">
        <v>1</v>
      </c>
      <c r="F30" s="13">
        <f>IF($A30="","",SUM($E$9:E30))</f>
        <v>65</v>
      </c>
      <c r="G30" s="13">
        <f t="shared" si="2"/>
        <v>205</v>
      </c>
    </row>
    <row r="31" spans="1:7" ht="14.4" x14ac:dyDescent="0.3">
      <c r="A31" s="16">
        <v>46162</v>
      </c>
      <c r="B31" s="12" t="str">
        <f t="shared" si="0"/>
        <v>Week 7</v>
      </c>
      <c r="C31" s="12" t="str">
        <f t="shared" si="1"/>
        <v>Milestone 2</v>
      </c>
      <c r="D31" s="12" t="s">
        <v>41</v>
      </c>
      <c r="E31" s="13">
        <v>4</v>
      </c>
      <c r="F31" s="13">
        <f>IF($A31="","",SUM($E$9:E31))</f>
        <v>69</v>
      </c>
      <c r="G31" s="13">
        <f t="shared" si="2"/>
        <v>201</v>
      </c>
    </row>
    <row r="32" spans="1:7" ht="14.4" x14ac:dyDescent="0.3">
      <c r="A32" s="16">
        <v>46165</v>
      </c>
      <c r="B32" s="12" t="str">
        <f t="shared" si="0"/>
        <v>Week 8</v>
      </c>
      <c r="C32" s="12" t="str">
        <f t="shared" si="1"/>
        <v>Milestone 2</v>
      </c>
      <c r="D32" s="12" t="s">
        <v>42</v>
      </c>
      <c r="E32" s="13">
        <v>5</v>
      </c>
      <c r="F32" s="13">
        <f>IF($A32="","",SUM($E$9:E32))</f>
        <v>74</v>
      </c>
      <c r="G32" s="13">
        <f>IF($A32="","",MAX(0,$B$4-F32))</f>
        <v>196</v>
      </c>
    </row>
    <row r="33" spans="1:7" ht="14.4" x14ac:dyDescent="0.3">
      <c r="A33" s="11">
        <v>46166</v>
      </c>
      <c r="B33" s="12" t="str">
        <f t="shared" si="0"/>
        <v>Week 8</v>
      </c>
      <c r="C33" s="12" t="str">
        <f t="shared" si="1"/>
        <v>Milestone 2</v>
      </c>
      <c r="D33" s="12" t="s">
        <v>43</v>
      </c>
      <c r="E33" s="13">
        <v>4</v>
      </c>
      <c r="F33" s="13">
        <f>IF($A33="","",SUM($E$9:E33))</f>
        <v>78</v>
      </c>
      <c r="G33" s="13">
        <f>IF($A33="","",MAX(0,$B$4-F33))</f>
        <v>192</v>
      </c>
    </row>
    <row r="34" spans="1:7" ht="28.8" x14ac:dyDescent="0.3">
      <c r="A34" s="11">
        <v>46167</v>
      </c>
      <c r="B34" s="12" t="str">
        <f t="shared" si="0"/>
        <v>Week 8</v>
      </c>
      <c r="C34" s="12" t="str">
        <f t="shared" si="1"/>
        <v>Milestone 2</v>
      </c>
      <c r="D34" s="12" t="s">
        <v>44</v>
      </c>
      <c r="E34" s="13">
        <v>4</v>
      </c>
      <c r="F34" s="13">
        <f>IF($A34="","",SUM($E$9:E34))</f>
        <v>82</v>
      </c>
      <c r="G34" s="13">
        <f t="shared" si="2"/>
        <v>188</v>
      </c>
    </row>
    <row r="35" spans="1:7" ht="14.4" x14ac:dyDescent="0.3">
      <c r="A35" s="11">
        <v>46168</v>
      </c>
      <c r="B35" s="12" t="str">
        <f t="shared" si="0"/>
        <v>Week 8</v>
      </c>
      <c r="C35" s="12" t="str">
        <f t="shared" si="1"/>
        <v>Milestone 2</v>
      </c>
      <c r="D35" s="12" t="s">
        <v>45</v>
      </c>
      <c r="E35" s="13">
        <v>5</v>
      </c>
      <c r="F35" s="13">
        <f>IF($A35="","",SUM($E$9:E35))</f>
        <v>87</v>
      </c>
      <c r="G35" s="13">
        <f t="shared" si="2"/>
        <v>183</v>
      </c>
    </row>
    <row r="36" spans="1:7" ht="14.4" x14ac:dyDescent="0.3">
      <c r="A36" s="11">
        <v>46171</v>
      </c>
      <c r="B36" s="12" t="str">
        <f t="shared" si="0"/>
        <v>Week 8</v>
      </c>
      <c r="C36" s="12" t="str">
        <f t="shared" si="1"/>
        <v>Milestone 2</v>
      </c>
      <c r="D36" s="12" t="s">
        <v>46</v>
      </c>
      <c r="E36" s="13">
        <v>3</v>
      </c>
      <c r="F36" s="13">
        <f>IF($A36="","",SUM($E$9:E36))</f>
        <v>90</v>
      </c>
      <c r="G36" s="13">
        <f t="shared" si="2"/>
        <v>180</v>
      </c>
    </row>
    <row r="37" spans="1:7" ht="14.4" x14ac:dyDescent="0.3">
      <c r="A37" s="11">
        <v>46174</v>
      </c>
      <c r="B37" s="12" t="str">
        <f t="shared" si="0"/>
        <v>Week 9</v>
      </c>
      <c r="C37" s="12" t="str">
        <f t="shared" si="1"/>
        <v>Milestone 3</v>
      </c>
      <c r="D37" s="12" t="s">
        <v>28</v>
      </c>
      <c r="E37" s="13">
        <v>1.5</v>
      </c>
      <c r="F37" s="13">
        <f>IF($A37="","",SUM($E$9:E37))</f>
        <v>91.5</v>
      </c>
      <c r="G37" s="13">
        <f t="shared" si="2"/>
        <v>178.5</v>
      </c>
    </row>
    <row r="38" spans="1:7" ht="14.4" x14ac:dyDescent="0.3">
      <c r="A38" s="11">
        <v>46175</v>
      </c>
      <c r="B38" s="12" t="str">
        <f t="shared" si="0"/>
        <v>Week 9</v>
      </c>
      <c r="C38" s="12" t="str">
        <f t="shared" si="1"/>
        <v>Milestone 3</v>
      </c>
      <c r="D38" s="12" t="s">
        <v>47</v>
      </c>
      <c r="E38" s="13">
        <v>1</v>
      </c>
      <c r="F38" s="13">
        <f>IF($A38="","",SUM($E$9:E38))</f>
        <v>92.5</v>
      </c>
      <c r="G38" s="13">
        <f t="shared" si="2"/>
        <v>177.5</v>
      </c>
    </row>
    <row r="39" spans="1:7" ht="14.4" x14ac:dyDescent="0.3">
      <c r="A39" s="11">
        <v>46181</v>
      </c>
      <c r="B39" s="12" t="str">
        <f t="shared" si="0"/>
        <v>Week 10</v>
      </c>
      <c r="C39" s="12" t="str">
        <f t="shared" si="1"/>
        <v>Milestone 3</v>
      </c>
      <c r="D39" s="12" t="s">
        <v>48</v>
      </c>
      <c r="E39" s="13">
        <v>7</v>
      </c>
      <c r="F39" s="13">
        <f>IF($A39="","",SUM($E$9:E39))</f>
        <v>99.5</v>
      </c>
      <c r="G39" s="13">
        <f t="shared" si="2"/>
        <v>170.5</v>
      </c>
    </row>
    <row r="40" spans="1:7" ht="14.4" x14ac:dyDescent="0.3">
      <c r="A40" s="11">
        <v>46182</v>
      </c>
      <c r="B40" s="12" t="str">
        <f>IF($A40="","", "Week "&amp;(INT(($A40-$B$3)/7)+1))</f>
        <v>Week 10</v>
      </c>
      <c r="C40" s="12" t="str">
        <f t="shared" si="1"/>
        <v>Milestone 3</v>
      </c>
      <c r="D40" s="12" t="s">
        <v>48</v>
      </c>
      <c r="E40" s="13">
        <v>7</v>
      </c>
      <c r="F40" s="13">
        <f>IF($A40="","",SUM($E$9:E40))</f>
        <v>106.5</v>
      </c>
      <c r="G40" s="13">
        <f t="shared" si="2"/>
        <v>163.5</v>
      </c>
    </row>
    <row r="41" spans="1:7" ht="28.8" x14ac:dyDescent="0.3">
      <c r="A41" s="11">
        <v>46183</v>
      </c>
      <c r="B41" s="12" t="str">
        <f t="shared" ref="B41:B71" si="3">IF($A41="","", "Week "&amp;(INT(($A41-$B$3)/7)+1))</f>
        <v>Week 10</v>
      </c>
      <c r="C41" s="12" t="str">
        <f t="shared" ref="C41:C71" si="4">IF($A41="","", "Milestone "&amp;MIN(4,ROUNDUP((INT(($A41-$B$3)/7)+1)/4,0)))</f>
        <v>Milestone 3</v>
      </c>
      <c r="D41" s="12" t="s">
        <v>154</v>
      </c>
      <c r="E41" s="13">
        <v>2.5</v>
      </c>
      <c r="F41" s="13">
        <f>IF($A41="","",SUM($E$9:E41))</f>
        <v>109</v>
      </c>
      <c r="G41" s="13">
        <f t="shared" ref="G41:G71" si="5">IF($A41="","",MAX(0,$B$4-F41))</f>
        <v>161</v>
      </c>
    </row>
    <row r="42" spans="1:7" ht="28.8" x14ac:dyDescent="0.3">
      <c r="A42" s="11">
        <v>46183</v>
      </c>
      <c r="B42" s="12" t="str">
        <f t="shared" si="3"/>
        <v>Week 10</v>
      </c>
      <c r="C42" s="12" t="str">
        <f t="shared" si="4"/>
        <v>Milestone 3</v>
      </c>
      <c r="D42" s="12" t="s">
        <v>155</v>
      </c>
      <c r="E42" s="13">
        <v>3</v>
      </c>
      <c r="F42" s="13">
        <f>IF($A42="","",SUM($E$9:E42))</f>
        <v>112</v>
      </c>
      <c r="G42" s="13">
        <f t="shared" si="5"/>
        <v>158</v>
      </c>
    </row>
    <row r="43" spans="1:7" ht="28.8" x14ac:dyDescent="0.3">
      <c r="A43" s="11">
        <v>46184</v>
      </c>
      <c r="B43" s="12" t="str">
        <f t="shared" si="3"/>
        <v>Week 10</v>
      </c>
      <c r="C43" s="12" t="str">
        <f t="shared" si="4"/>
        <v>Milestone 3</v>
      </c>
      <c r="D43" s="12" t="s">
        <v>156</v>
      </c>
      <c r="E43" s="13">
        <v>5</v>
      </c>
      <c r="F43" s="13">
        <f>IF($A43="","",SUM($E$9:E43))</f>
        <v>117</v>
      </c>
      <c r="G43" s="13">
        <f t="shared" si="5"/>
        <v>153</v>
      </c>
    </row>
    <row r="44" spans="1:7" ht="28.8" x14ac:dyDescent="0.3">
      <c r="A44" s="11">
        <v>46184</v>
      </c>
      <c r="B44" s="12" t="str">
        <f t="shared" si="3"/>
        <v>Week 10</v>
      </c>
      <c r="C44" s="12" t="str">
        <f t="shared" si="4"/>
        <v>Milestone 3</v>
      </c>
      <c r="D44" s="12" t="s">
        <v>157</v>
      </c>
      <c r="E44" s="13">
        <v>3</v>
      </c>
      <c r="F44" s="13">
        <f>IF($A44="","",SUM($E$9:E44))</f>
        <v>120</v>
      </c>
      <c r="G44" s="13">
        <f t="shared" si="5"/>
        <v>150</v>
      </c>
    </row>
    <row r="45" spans="1:7" ht="28.8" x14ac:dyDescent="0.3">
      <c r="A45" s="11">
        <v>46185</v>
      </c>
      <c r="B45" s="12" t="str">
        <f t="shared" si="3"/>
        <v>Week 10</v>
      </c>
      <c r="C45" s="12" t="str">
        <f t="shared" si="4"/>
        <v>Milestone 3</v>
      </c>
      <c r="D45" s="12" t="s">
        <v>158</v>
      </c>
      <c r="E45" s="13">
        <v>4.5</v>
      </c>
      <c r="F45" s="13">
        <f>IF($A45="","",SUM($E$9:E45))</f>
        <v>124.5</v>
      </c>
      <c r="G45" s="13">
        <f t="shared" si="5"/>
        <v>145.5</v>
      </c>
    </row>
    <row r="46" spans="1:7" ht="14.4" x14ac:dyDescent="0.3">
      <c r="A46" s="11">
        <v>46186</v>
      </c>
      <c r="B46" s="12" t="str">
        <f t="shared" si="3"/>
        <v>Week 11</v>
      </c>
      <c r="C46" s="12" t="str">
        <f t="shared" si="4"/>
        <v>Milestone 3</v>
      </c>
      <c r="D46" s="18" t="s">
        <v>170</v>
      </c>
      <c r="E46" s="13">
        <v>8</v>
      </c>
      <c r="F46" s="13">
        <f>IF($A46="","",SUM($E$9:E46))</f>
        <v>132.5</v>
      </c>
      <c r="G46" s="13">
        <f t="shared" si="5"/>
        <v>137.5</v>
      </c>
    </row>
    <row r="47" spans="1:7" ht="14.4" x14ac:dyDescent="0.3">
      <c r="A47" s="11">
        <v>46188</v>
      </c>
      <c r="B47" s="12" t="str">
        <f t="shared" si="3"/>
        <v>Week 11</v>
      </c>
      <c r="C47" s="12" t="str">
        <f t="shared" si="4"/>
        <v>Milestone 3</v>
      </c>
      <c r="D47" s="12" t="s">
        <v>28</v>
      </c>
      <c r="E47" s="13">
        <v>1</v>
      </c>
      <c r="F47" s="13">
        <f>IF($A47="","",SUM($E$9:E47))</f>
        <v>133.5</v>
      </c>
      <c r="G47" s="13">
        <f t="shared" si="5"/>
        <v>136.5</v>
      </c>
    </row>
    <row r="48" spans="1:7" ht="14.4" x14ac:dyDescent="0.3">
      <c r="A48" s="11">
        <v>46189</v>
      </c>
      <c r="B48" s="12" t="str">
        <f t="shared" si="3"/>
        <v>Week 11</v>
      </c>
      <c r="C48" s="12" t="str">
        <f t="shared" si="4"/>
        <v>Milestone 3</v>
      </c>
      <c r="D48" s="12" t="s">
        <v>171</v>
      </c>
      <c r="E48" s="13">
        <v>4</v>
      </c>
      <c r="F48" s="13">
        <f>IF($A48="","",SUM($E$9:E48))</f>
        <v>137.5</v>
      </c>
      <c r="G48" s="13">
        <f t="shared" si="5"/>
        <v>132.5</v>
      </c>
    </row>
    <row r="49" spans="1:7" ht="14.4" x14ac:dyDescent="0.3">
      <c r="A49" s="11">
        <v>46190</v>
      </c>
      <c r="B49" s="12" t="str">
        <f t="shared" si="3"/>
        <v>Week 11</v>
      </c>
      <c r="C49" s="12" t="str">
        <f t="shared" si="4"/>
        <v>Milestone 3</v>
      </c>
      <c r="D49" s="12" t="s">
        <v>172</v>
      </c>
      <c r="E49" s="13">
        <v>3</v>
      </c>
      <c r="F49" s="13">
        <f>IF($A49="","",SUM($E$9:E49))</f>
        <v>140.5</v>
      </c>
      <c r="G49" s="13">
        <f t="shared" si="5"/>
        <v>129.5</v>
      </c>
    </row>
    <row r="50" spans="1:7" ht="14.4" x14ac:dyDescent="0.3">
      <c r="A50" s="11">
        <v>46190</v>
      </c>
      <c r="B50" s="12" t="str">
        <f t="shared" si="3"/>
        <v>Week 11</v>
      </c>
      <c r="C50" s="12" t="str">
        <f t="shared" si="4"/>
        <v>Milestone 3</v>
      </c>
      <c r="D50" s="12"/>
      <c r="E50" s="13"/>
      <c r="F50" s="13"/>
      <c r="G50" s="13">
        <f t="shared" si="5"/>
        <v>270</v>
      </c>
    </row>
    <row r="51" spans="1:7" ht="14.4" x14ac:dyDescent="0.3">
      <c r="A51" s="11"/>
      <c r="B51" s="12" t="str">
        <f t="shared" si="3"/>
        <v/>
      </c>
      <c r="C51" s="12" t="str">
        <f t="shared" si="4"/>
        <v/>
      </c>
      <c r="D51" s="12"/>
      <c r="E51" s="13"/>
      <c r="F51" s="13"/>
      <c r="G51" s="13" t="str">
        <f t="shared" si="5"/>
        <v/>
      </c>
    </row>
    <row r="52" spans="1:7" ht="14.4" x14ac:dyDescent="0.3">
      <c r="A52" s="11"/>
      <c r="B52" s="12" t="str">
        <f t="shared" si="3"/>
        <v/>
      </c>
      <c r="C52" s="12" t="str">
        <f t="shared" si="4"/>
        <v/>
      </c>
      <c r="D52" s="12"/>
      <c r="E52" s="13"/>
      <c r="F52" s="13"/>
      <c r="G52" s="13" t="str">
        <f t="shared" si="5"/>
        <v/>
      </c>
    </row>
    <row r="53" spans="1:7" ht="14.4" x14ac:dyDescent="0.3">
      <c r="A53" s="11"/>
      <c r="B53" s="12" t="str">
        <f t="shared" si="3"/>
        <v/>
      </c>
      <c r="C53" s="12" t="str">
        <f t="shared" si="4"/>
        <v/>
      </c>
      <c r="D53" s="12"/>
      <c r="E53" s="13"/>
      <c r="F53" s="13"/>
      <c r="G53" s="13" t="str">
        <f t="shared" si="5"/>
        <v/>
      </c>
    </row>
    <row r="54" spans="1:7" ht="14.4" x14ac:dyDescent="0.3">
      <c r="A54" s="11"/>
      <c r="B54" s="12" t="str">
        <f t="shared" si="3"/>
        <v/>
      </c>
      <c r="C54" s="12" t="str">
        <f t="shared" si="4"/>
        <v/>
      </c>
      <c r="D54" s="12"/>
      <c r="E54" s="13"/>
      <c r="F54" s="13"/>
      <c r="G54" s="13" t="str">
        <f t="shared" si="5"/>
        <v/>
      </c>
    </row>
    <row r="55" spans="1:7" ht="14.4" x14ac:dyDescent="0.3">
      <c r="A55" s="11"/>
      <c r="B55" s="12" t="str">
        <f t="shared" si="3"/>
        <v/>
      </c>
      <c r="C55" s="12" t="str">
        <f t="shared" si="4"/>
        <v/>
      </c>
      <c r="D55" s="12"/>
      <c r="E55" s="13"/>
      <c r="F55" s="13"/>
      <c r="G55" s="13" t="str">
        <f t="shared" si="5"/>
        <v/>
      </c>
    </row>
    <row r="56" spans="1:7" ht="14.4" x14ac:dyDescent="0.3">
      <c r="A56" s="11"/>
      <c r="B56" s="12" t="str">
        <f t="shared" si="3"/>
        <v/>
      </c>
      <c r="C56" s="12" t="str">
        <f t="shared" si="4"/>
        <v/>
      </c>
      <c r="D56" s="12"/>
      <c r="E56" s="13"/>
      <c r="F56" s="13"/>
      <c r="G56" s="13" t="str">
        <f t="shared" si="5"/>
        <v/>
      </c>
    </row>
    <row r="57" spans="1:7" ht="14.4" x14ac:dyDescent="0.3">
      <c r="A57" s="11"/>
      <c r="B57" s="12" t="str">
        <f t="shared" si="3"/>
        <v/>
      </c>
      <c r="C57" s="12" t="str">
        <f t="shared" si="4"/>
        <v/>
      </c>
      <c r="D57" s="12"/>
      <c r="E57" s="13"/>
      <c r="F57" s="13"/>
      <c r="G57" s="13" t="str">
        <f t="shared" si="5"/>
        <v/>
      </c>
    </row>
    <row r="58" spans="1:7" ht="14.4" x14ac:dyDescent="0.3">
      <c r="A58" s="11"/>
      <c r="B58" s="12" t="str">
        <f t="shared" si="3"/>
        <v/>
      </c>
      <c r="C58" s="12" t="str">
        <f t="shared" si="4"/>
        <v/>
      </c>
      <c r="D58" s="12"/>
      <c r="E58" s="13"/>
      <c r="F58" s="13"/>
      <c r="G58" s="13" t="str">
        <f t="shared" si="5"/>
        <v/>
      </c>
    </row>
    <row r="59" spans="1:7" ht="14.4" x14ac:dyDescent="0.3">
      <c r="A59" s="11"/>
      <c r="B59" s="12" t="str">
        <f t="shared" si="3"/>
        <v/>
      </c>
      <c r="C59" s="12" t="str">
        <f t="shared" si="4"/>
        <v/>
      </c>
      <c r="D59" s="12"/>
      <c r="E59" s="13"/>
      <c r="F59" s="13"/>
      <c r="G59" s="13" t="str">
        <f t="shared" si="5"/>
        <v/>
      </c>
    </row>
    <row r="60" spans="1:7" ht="14.4" x14ac:dyDescent="0.3">
      <c r="A60" s="11"/>
      <c r="B60" s="12" t="str">
        <f t="shared" si="3"/>
        <v/>
      </c>
      <c r="C60" s="12" t="str">
        <f t="shared" si="4"/>
        <v/>
      </c>
      <c r="D60" s="12"/>
      <c r="E60" s="13"/>
      <c r="F60" s="13"/>
      <c r="G60" s="13" t="str">
        <f t="shared" si="5"/>
        <v/>
      </c>
    </row>
    <row r="61" spans="1:7" ht="14.4" x14ac:dyDescent="0.3">
      <c r="A61" s="11"/>
      <c r="B61" s="12" t="str">
        <f t="shared" si="3"/>
        <v/>
      </c>
      <c r="C61" s="12" t="str">
        <f t="shared" si="4"/>
        <v/>
      </c>
      <c r="D61" s="12"/>
      <c r="E61" s="13"/>
      <c r="F61" s="13"/>
      <c r="G61" s="13" t="str">
        <f t="shared" si="5"/>
        <v/>
      </c>
    </row>
    <row r="62" spans="1:7" ht="14.4" x14ac:dyDescent="0.3">
      <c r="A62" s="11"/>
      <c r="B62" s="12" t="str">
        <f t="shared" si="3"/>
        <v/>
      </c>
      <c r="C62" s="12" t="str">
        <f t="shared" si="4"/>
        <v/>
      </c>
      <c r="D62" s="12"/>
      <c r="E62" s="13"/>
      <c r="F62" s="13"/>
      <c r="G62" s="13" t="str">
        <f t="shared" si="5"/>
        <v/>
      </c>
    </row>
    <row r="63" spans="1:7" ht="14.4" x14ac:dyDescent="0.3">
      <c r="A63" s="11"/>
      <c r="B63" s="12" t="str">
        <f t="shared" si="3"/>
        <v/>
      </c>
      <c r="C63" s="12" t="str">
        <f t="shared" si="4"/>
        <v/>
      </c>
      <c r="D63" s="12"/>
      <c r="E63" s="13"/>
      <c r="F63" s="13"/>
      <c r="G63" s="13" t="str">
        <f t="shared" si="5"/>
        <v/>
      </c>
    </row>
    <row r="64" spans="1:7" ht="14.4" x14ac:dyDescent="0.3">
      <c r="A64" s="11"/>
      <c r="B64" s="12" t="str">
        <f t="shared" si="3"/>
        <v/>
      </c>
      <c r="C64" s="12" t="str">
        <f t="shared" si="4"/>
        <v/>
      </c>
      <c r="D64" s="12"/>
      <c r="E64" s="13"/>
      <c r="F64" s="13"/>
      <c r="G64" s="13" t="str">
        <f t="shared" si="5"/>
        <v/>
      </c>
    </row>
    <row r="65" spans="1:7" ht="14.4" x14ac:dyDescent="0.3">
      <c r="A65" s="11"/>
      <c r="B65" s="12" t="str">
        <f t="shared" si="3"/>
        <v/>
      </c>
      <c r="C65" s="12" t="str">
        <f t="shared" si="4"/>
        <v/>
      </c>
      <c r="D65" s="12"/>
      <c r="E65" s="13"/>
      <c r="F65" s="13"/>
      <c r="G65" s="13" t="str">
        <f t="shared" si="5"/>
        <v/>
      </c>
    </row>
    <row r="66" spans="1:7" ht="14.4" x14ac:dyDescent="0.3">
      <c r="A66" s="11"/>
      <c r="B66" s="12" t="str">
        <f t="shared" si="3"/>
        <v/>
      </c>
      <c r="C66" s="12" t="str">
        <f t="shared" si="4"/>
        <v/>
      </c>
      <c r="D66" s="12"/>
      <c r="E66" s="13"/>
      <c r="F66" s="13"/>
      <c r="G66" s="13" t="str">
        <f t="shared" si="5"/>
        <v/>
      </c>
    </row>
    <row r="67" spans="1:7" ht="14.4" x14ac:dyDescent="0.3">
      <c r="A67" s="11"/>
      <c r="B67" s="12" t="str">
        <f t="shared" si="3"/>
        <v/>
      </c>
      <c r="C67" s="12" t="str">
        <f t="shared" si="4"/>
        <v/>
      </c>
      <c r="D67" s="12"/>
      <c r="E67" s="13"/>
      <c r="F67" s="13"/>
      <c r="G67" s="13" t="str">
        <f t="shared" si="5"/>
        <v/>
      </c>
    </row>
    <row r="68" spans="1:7" ht="14.4" x14ac:dyDescent="0.3">
      <c r="A68" s="11"/>
      <c r="B68" s="12" t="str">
        <f t="shared" si="3"/>
        <v/>
      </c>
      <c r="C68" s="12" t="str">
        <f t="shared" si="4"/>
        <v/>
      </c>
      <c r="D68" s="12"/>
      <c r="E68" s="13"/>
      <c r="F68" s="13"/>
      <c r="G68" s="13" t="str">
        <f t="shared" si="5"/>
        <v/>
      </c>
    </row>
    <row r="69" spans="1:7" ht="14.4" x14ac:dyDescent="0.3">
      <c r="A69" s="11"/>
      <c r="B69" s="12" t="str">
        <f t="shared" si="3"/>
        <v/>
      </c>
      <c r="C69" s="12" t="str">
        <f t="shared" si="4"/>
        <v/>
      </c>
      <c r="D69" s="12"/>
      <c r="E69" s="13"/>
      <c r="F69" s="13"/>
      <c r="G69" s="13" t="str">
        <f t="shared" si="5"/>
        <v/>
      </c>
    </row>
    <row r="70" spans="1:7" ht="14.4" x14ac:dyDescent="0.3">
      <c r="A70" s="11"/>
      <c r="B70" s="12" t="str">
        <f t="shared" si="3"/>
        <v/>
      </c>
      <c r="C70" s="12" t="str">
        <f t="shared" si="4"/>
        <v/>
      </c>
      <c r="D70" s="12"/>
      <c r="E70" s="13"/>
      <c r="F70" s="13"/>
      <c r="G70" s="13" t="str">
        <f t="shared" si="5"/>
        <v/>
      </c>
    </row>
    <row r="71" spans="1:7" ht="14.4" x14ac:dyDescent="0.3">
      <c r="A71" s="11"/>
      <c r="B71" s="12" t="str">
        <f t="shared" si="3"/>
        <v/>
      </c>
      <c r="C71" s="12" t="str">
        <f t="shared" si="4"/>
        <v/>
      </c>
      <c r="D71" s="12"/>
      <c r="E71" s="13"/>
      <c r="F71" s="13"/>
      <c r="G71" s="13" t="str">
        <f t="shared" si="5"/>
        <v/>
      </c>
    </row>
    <row r="72" spans="1:7" ht="14.4" x14ac:dyDescent="0.3">
      <c r="A72" s="11"/>
      <c r="B72" s="12" t="str">
        <f t="shared" ref="B72:B103" si="6">IF($A72="","", "Week "&amp;(INT(($A72-$B$3)/7)+1))</f>
        <v/>
      </c>
      <c r="C72" s="12" t="str">
        <f t="shared" ref="C72:C103" si="7">IF($A72="","", "Milestone "&amp;MIN(4,ROUNDUP((INT(($A72-$B$3)/7)+1)/4,0)))</f>
        <v/>
      </c>
      <c r="D72" s="12"/>
      <c r="E72" s="13"/>
      <c r="F72" s="13"/>
      <c r="G72" s="13" t="str">
        <f t="shared" ref="G72:G103" si="8">IF($A72="","",MAX(0,$B$4-F72))</f>
        <v/>
      </c>
    </row>
    <row r="73" spans="1:7" ht="14.4" x14ac:dyDescent="0.3">
      <c r="A73" s="11"/>
      <c r="B73" s="12" t="str">
        <f t="shared" si="6"/>
        <v/>
      </c>
      <c r="C73" s="12" t="str">
        <f t="shared" si="7"/>
        <v/>
      </c>
      <c r="D73" s="12"/>
      <c r="E73" s="13"/>
      <c r="F73" s="13"/>
      <c r="G73" s="13" t="str">
        <f t="shared" si="8"/>
        <v/>
      </c>
    </row>
    <row r="74" spans="1:7" ht="14.4" x14ac:dyDescent="0.3">
      <c r="A74" s="11"/>
      <c r="B74" s="12" t="str">
        <f t="shared" si="6"/>
        <v/>
      </c>
      <c r="C74" s="12" t="str">
        <f t="shared" si="7"/>
        <v/>
      </c>
      <c r="D74" s="12"/>
      <c r="E74" s="13"/>
      <c r="F74" s="13"/>
      <c r="G74" s="13" t="str">
        <f t="shared" si="8"/>
        <v/>
      </c>
    </row>
    <row r="75" spans="1:7" ht="14.4" x14ac:dyDescent="0.3">
      <c r="A75" s="11"/>
      <c r="B75" s="12" t="str">
        <f t="shared" si="6"/>
        <v/>
      </c>
      <c r="C75" s="12" t="str">
        <f t="shared" si="7"/>
        <v/>
      </c>
      <c r="D75" s="12"/>
      <c r="E75" s="13"/>
      <c r="F75" s="13"/>
      <c r="G75" s="13" t="str">
        <f t="shared" si="8"/>
        <v/>
      </c>
    </row>
    <row r="76" spans="1:7" ht="14.4" x14ac:dyDescent="0.3">
      <c r="A76" s="11"/>
      <c r="B76" s="12" t="str">
        <f t="shared" si="6"/>
        <v/>
      </c>
      <c r="C76" s="12" t="str">
        <f t="shared" si="7"/>
        <v/>
      </c>
      <c r="D76" s="12"/>
      <c r="E76" s="13"/>
      <c r="F76" s="13"/>
      <c r="G76" s="13" t="str">
        <f t="shared" si="8"/>
        <v/>
      </c>
    </row>
    <row r="77" spans="1:7" ht="14.4" x14ac:dyDescent="0.3">
      <c r="A77" s="11"/>
      <c r="B77" s="12" t="str">
        <f t="shared" si="6"/>
        <v/>
      </c>
      <c r="C77" s="12" t="str">
        <f t="shared" si="7"/>
        <v/>
      </c>
      <c r="D77" s="12"/>
      <c r="E77" s="13"/>
      <c r="F77" s="13"/>
      <c r="G77" s="13" t="str">
        <f t="shared" si="8"/>
        <v/>
      </c>
    </row>
    <row r="78" spans="1:7" ht="14.4" x14ac:dyDescent="0.3">
      <c r="A78" s="11"/>
      <c r="B78" s="12" t="str">
        <f t="shared" si="6"/>
        <v/>
      </c>
      <c r="C78" s="12" t="str">
        <f t="shared" si="7"/>
        <v/>
      </c>
      <c r="D78" s="12"/>
      <c r="E78" s="13"/>
      <c r="F78" s="13"/>
      <c r="G78" s="13" t="str">
        <f t="shared" si="8"/>
        <v/>
      </c>
    </row>
    <row r="79" spans="1:7" ht="14.4" x14ac:dyDescent="0.3">
      <c r="A79" s="11"/>
      <c r="B79" s="12" t="str">
        <f t="shared" si="6"/>
        <v/>
      </c>
      <c r="C79" s="12" t="str">
        <f t="shared" si="7"/>
        <v/>
      </c>
      <c r="D79" s="12"/>
      <c r="E79" s="13"/>
      <c r="F79" s="13"/>
      <c r="G79" s="13" t="str">
        <f t="shared" si="8"/>
        <v/>
      </c>
    </row>
    <row r="80" spans="1:7" ht="14.4" x14ac:dyDescent="0.3">
      <c r="A80" s="11"/>
      <c r="B80" s="12" t="str">
        <f t="shared" si="6"/>
        <v/>
      </c>
      <c r="C80" s="12" t="str">
        <f t="shared" si="7"/>
        <v/>
      </c>
      <c r="D80" s="12"/>
      <c r="E80" s="13"/>
      <c r="F80" s="13" t="str">
        <f>IF($A80="","",SUM($E$9:E80))</f>
        <v/>
      </c>
      <c r="G80" s="13" t="str">
        <f t="shared" si="8"/>
        <v/>
      </c>
    </row>
    <row r="81" spans="1:7" ht="14.4" x14ac:dyDescent="0.3">
      <c r="A81" s="11"/>
      <c r="B81" s="12" t="str">
        <f t="shared" si="6"/>
        <v/>
      </c>
      <c r="C81" s="12" t="str">
        <f t="shared" si="7"/>
        <v/>
      </c>
      <c r="D81" s="12"/>
      <c r="E81" s="13"/>
      <c r="F81" s="13" t="str">
        <f>IF($A81="","",SUM($E$9:E81))</f>
        <v/>
      </c>
      <c r="G81" s="13" t="str">
        <f t="shared" si="8"/>
        <v/>
      </c>
    </row>
    <row r="82" spans="1:7" ht="14.4" x14ac:dyDescent="0.3">
      <c r="A82" s="11"/>
      <c r="B82" s="12" t="str">
        <f t="shared" si="6"/>
        <v/>
      </c>
      <c r="C82" s="12" t="str">
        <f t="shared" si="7"/>
        <v/>
      </c>
      <c r="D82" s="12"/>
      <c r="E82" s="13"/>
      <c r="F82" s="13" t="str">
        <f>IF($A82="","",SUM($E$9:E82))</f>
        <v/>
      </c>
      <c r="G82" s="13" t="str">
        <f t="shared" si="8"/>
        <v/>
      </c>
    </row>
    <row r="83" spans="1:7" ht="14.4" x14ac:dyDescent="0.3">
      <c r="A83" s="11"/>
      <c r="B83" s="12" t="str">
        <f t="shared" si="6"/>
        <v/>
      </c>
      <c r="C83" s="12" t="str">
        <f t="shared" si="7"/>
        <v/>
      </c>
      <c r="D83" s="12"/>
      <c r="E83" s="13"/>
      <c r="F83" s="13" t="str">
        <f>IF($A83="","",SUM($E$9:E83))</f>
        <v/>
      </c>
      <c r="G83" s="13" t="str">
        <f t="shared" si="8"/>
        <v/>
      </c>
    </row>
    <row r="84" spans="1:7" ht="14.4" x14ac:dyDescent="0.3">
      <c r="A84" s="11"/>
      <c r="B84" s="12" t="str">
        <f t="shared" si="6"/>
        <v/>
      </c>
      <c r="C84" s="12" t="str">
        <f t="shared" si="7"/>
        <v/>
      </c>
      <c r="D84" s="12"/>
      <c r="E84" s="13"/>
      <c r="F84" s="13" t="str">
        <f>IF($A84="","",SUM($E$9:E84))</f>
        <v/>
      </c>
      <c r="G84" s="13" t="str">
        <f t="shared" si="8"/>
        <v/>
      </c>
    </row>
    <row r="85" spans="1:7" ht="14.4" x14ac:dyDescent="0.3">
      <c r="A85" s="11"/>
      <c r="B85" s="12" t="str">
        <f t="shared" si="6"/>
        <v/>
      </c>
      <c r="C85" s="12" t="str">
        <f t="shared" si="7"/>
        <v/>
      </c>
      <c r="D85" s="12"/>
      <c r="E85" s="13"/>
      <c r="F85" s="13" t="str">
        <f>IF($A85="","",SUM($E$9:E85))</f>
        <v/>
      </c>
      <c r="G85" s="13" t="str">
        <f t="shared" si="8"/>
        <v/>
      </c>
    </row>
    <row r="86" spans="1:7" ht="14.4" x14ac:dyDescent="0.3">
      <c r="A86" s="11"/>
      <c r="B86" s="12" t="str">
        <f t="shared" si="6"/>
        <v/>
      </c>
      <c r="C86" s="12" t="str">
        <f t="shared" si="7"/>
        <v/>
      </c>
      <c r="D86" s="12"/>
      <c r="E86" s="13"/>
      <c r="F86" s="13" t="str">
        <f>IF($A86="","",SUM($E$9:E86))</f>
        <v/>
      </c>
      <c r="G86" s="13" t="str">
        <f t="shared" si="8"/>
        <v/>
      </c>
    </row>
    <row r="87" spans="1:7" ht="14.4" x14ac:dyDescent="0.3">
      <c r="A87" s="11"/>
      <c r="B87" s="12" t="str">
        <f t="shared" si="6"/>
        <v/>
      </c>
      <c r="C87" s="12" t="str">
        <f t="shared" si="7"/>
        <v/>
      </c>
      <c r="D87" s="12"/>
      <c r="E87" s="13"/>
      <c r="F87" s="13" t="str">
        <f>IF($A87="","",SUM($E$9:E87))</f>
        <v/>
      </c>
      <c r="G87" s="13" t="str">
        <f t="shared" si="8"/>
        <v/>
      </c>
    </row>
    <row r="88" spans="1:7" ht="14.4" x14ac:dyDescent="0.3">
      <c r="A88" s="11"/>
      <c r="B88" s="12" t="str">
        <f t="shared" si="6"/>
        <v/>
      </c>
      <c r="C88" s="12" t="str">
        <f t="shared" si="7"/>
        <v/>
      </c>
      <c r="D88" s="12"/>
      <c r="E88" s="13"/>
      <c r="F88" s="13" t="str">
        <f>IF($A88="","",SUM($E$9:E88))</f>
        <v/>
      </c>
      <c r="G88" s="13" t="str">
        <f t="shared" si="8"/>
        <v/>
      </c>
    </row>
    <row r="89" spans="1:7" ht="14.4" x14ac:dyDescent="0.3">
      <c r="A89" s="11"/>
      <c r="B89" s="12" t="str">
        <f t="shared" si="6"/>
        <v/>
      </c>
      <c r="C89" s="12" t="str">
        <f t="shared" si="7"/>
        <v/>
      </c>
      <c r="D89" s="12"/>
      <c r="E89" s="13"/>
      <c r="F89" s="13" t="str">
        <f>IF($A89="","",SUM($E$9:E89))</f>
        <v/>
      </c>
      <c r="G89" s="13" t="str">
        <f t="shared" si="8"/>
        <v/>
      </c>
    </row>
    <row r="90" spans="1:7" ht="14.4" x14ac:dyDescent="0.3">
      <c r="A90" s="11"/>
      <c r="B90" s="12" t="str">
        <f t="shared" si="6"/>
        <v/>
      </c>
      <c r="C90" s="12" t="str">
        <f t="shared" si="7"/>
        <v/>
      </c>
      <c r="D90" s="12"/>
      <c r="E90" s="13"/>
      <c r="F90" s="13" t="str">
        <f>IF($A90="","",SUM($E$9:E90))</f>
        <v/>
      </c>
      <c r="G90" s="13" t="str">
        <f t="shared" si="8"/>
        <v/>
      </c>
    </row>
    <row r="91" spans="1:7" ht="14.4" x14ac:dyDescent="0.3">
      <c r="A91" s="11"/>
      <c r="B91" s="12" t="str">
        <f t="shared" si="6"/>
        <v/>
      </c>
      <c r="C91" s="12" t="str">
        <f t="shared" si="7"/>
        <v/>
      </c>
      <c r="D91" s="12"/>
      <c r="E91" s="13"/>
      <c r="F91" s="13" t="str">
        <f>IF($A91="","",SUM($E$9:E91))</f>
        <v/>
      </c>
      <c r="G91" s="13" t="str">
        <f t="shared" si="8"/>
        <v/>
      </c>
    </row>
    <row r="92" spans="1:7" ht="14.4" x14ac:dyDescent="0.3">
      <c r="A92" s="11"/>
      <c r="B92" s="12" t="str">
        <f t="shared" si="6"/>
        <v/>
      </c>
      <c r="C92" s="12" t="str">
        <f t="shared" si="7"/>
        <v/>
      </c>
      <c r="D92" s="12"/>
      <c r="E92" s="13"/>
      <c r="F92" s="13" t="str">
        <f>IF($A92="","",SUM($E$9:E92))</f>
        <v/>
      </c>
      <c r="G92" s="13" t="str">
        <f t="shared" si="8"/>
        <v/>
      </c>
    </row>
    <row r="93" spans="1:7" ht="14.4" x14ac:dyDescent="0.3">
      <c r="A93" s="11"/>
      <c r="B93" s="12" t="str">
        <f t="shared" si="6"/>
        <v/>
      </c>
      <c r="C93" s="12" t="str">
        <f t="shared" si="7"/>
        <v/>
      </c>
      <c r="D93" s="12"/>
      <c r="E93" s="13"/>
      <c r="F93" s="13" t="str">
        <f>IF($A93="","",SUM($E$9:E93))</f>
        <v/>
      </c>
      <c r="G93" s="13" t="str">
        <f t="shared" si="8"/>
        <v/>
      </c>
    </row>
    <row r="94" spans="1:7" ht="14.4" x14ac:dyDescent="0.3">
      <c r="A94" s="11"/>
      <c r="B94" s="12" t="str">
        <f t="shared" si="6"/>
        <v/>
      </c>
      <c r="C94" s="12" t="str">
        <f t="shared" si="7"/>
        <v/>
      </c>
      <c r="D94" s="12"/>
      <c r="E94" s="13"/>
      <c r="F94" s="13" t="str">
        <f>IF($A94="","",SUM($E$9:E94))</f>
        <v/>
      </c>
      <c r="G94" s="13" t="str">
        <f t="shared" si="8"/>
        <v/>
      </c>
    </row>
    <row r="95" spans="1:7" ht="14.4" x14ac:dyDescent="0.3">
      <c r="A95" s="11"/>
      <c r="B95" s="12" t="str">
        <f t="shared" si="6"/>
        <v/>
      </c>
      <c r="C95" s="12" t="str">
        <f t="shared" si="7"/>
        <v/>
      </c>
      <c r="D95" s="12"/>
      <c r="E95" s="13"/>
      <c r="F95" s="13" t="str">
        <f>IF($A95="","",SUM($E$9:E95))</f>
        <v/>
      </c>
      <c r="G95" s="13" t="str">
        <f t="shared" si="8"/>
        <v/>
      </c>
    </row>
    <row r="96" spans="1:7" ht="14.4" x14ac:dyDescent="0.3">
      <c r="A96" s="11"/>
      <c r="B96" s="12" t="str">
        <f t="shared" si="6"/>
        <v/>
      </c>
      <c r="C96" s="12" t="str">
        <f t="shared" si="7"/>
        <v/>
      </c>
      <c r="D96" s="12"/>
      <c r="E96" s="13"/>
      <c r="F96" s="13" t="str">
        <f>IF($A96="","",SUM($E$9:E96))</f>
        <v/>
      </c>
      <c r="G96" s="13" t="str">
        <f t="shared" si="8"/>
        <v/>
      </c>
    </row>
    <row r="97" spans="1:7" ht="14.4" x14ac:dyDescent="0.3">
      <c r="A97" s="11"/>
      <c r="B97" s="12" t="str">
        <f t="shared" si="6"/>
        <v/>
      </c>
      <c r="C97" s="12" t="str">
        <f t="shared" si="7"/>
        <v/>
      </c>
      <c r="D97" s="12"/>
      <c r="E97" s="13"/>
      <c r="F97" s="13" t="str">
        <f>IF($A97="","",SUM($E$9:E97))</f>
        <v/>
      </c>
      <c r="G97" s="13" t="str">
        <f t="shared" si="8"/>
        <v/>
      </c>
    </row>
    <row r="98" spans="1:7" ht="14.4" x14ac:dyDescent="0.3">
      <c r="A98" s="11"/>
      <c r="B98" s="12" t="str">
        <f t="shared" si="6"/>
        <v/>
      </c>
      <c r="C98" s="12" t="str">
        <f t="shared" si="7"/>
        <v/>
      </c>
      <c r="D98" s="12"/>
      <c r="E98" s="13"/>
      <c r="F98" s="13" t="str">
        <f>IF($A98="","",SUM($E$9:E98))</f>
        <v/>
      </c>
      <c r="G98" s="13" t="str">
        <f t="shared" si="8"/>
        <v/>
      </c>
    </row>
    <row r="99" spans="1:7" ht="14.4" x14ac:dyDescent="0.3">
      <c r="A99" s="11"/>
      <c r="B99" s="12" t="str">
        <f t="shared" si="6"/>
        <v/>
      </c>
      <c r="C99" s="12" t="str">
        <f t="shared" si="7"/>
        <v/>
      </c>
      <c r="D99" s="12"/>
      <c r="E99" s="13"/>
      <c r="F99" s="13" t="str">
        <f>IF($A99="","",SUM($E$9:E99))</f>
        <v/>
      </c>
      <c r="G99" s="13" t="str">
        <f t="shared" si="8"/>
        <v/>
      </c>
    </row>
    <row r="100" spans="1:7" ht="14.4" x14ac:dyDescent="0.3">
      <c r="A100" s="11"/>
      <c r="B100" s="12" t="str">
        <f t="shared" si="6"/>
        <v/>
      </c>
      <c r="C100" s="12" t="str">
        <f t="shared" si="7"/>
        <v/>
      </c>
      <c r="D100" s="12"/>
      <c r="E100" s="13"/>
      <c r="F100" s="13" t="str">
        <f>IF($A100="","",SUM($E$9:E100))</f>
        <v/>
      </c>
      <c r="G100" s="13" t="str">
        <f t="shared" si="8"/>
        <v/>
      </c>
    </row>
    <row r="101" spans="1:7" ht="14.4" x14ac:dyDescent="0.3">
      <c r="A101" s="11"/>
      <c r="B101" s="12" t="str">
        <f t="shared" si="6"/>
        <v/>
      </c>
      <c r="C101" s="12" t="str">
        <f t="shared" si="7"/>
        <v/>
      </c>
      <c r="D101" s="12"/>
      <c r="E101" s="13"/>
      <c r="F101" s="13" t="str">
        <f>IF($A101="","",SUM($E$9:E101))</f>
        <v/>
      </c>
      <c r="G101" s="13" t="str">
        <f t="shared" si="8"/>
        <v/>
      </c>
    </row>
    <row r="102" spans="1:7" ht="14.4" x14ac:dyDescent="0.3">
      <c r="A102" s="11"/>
      <c r="B102" s="12" t="str">
        <f t="shared" si="6"/>
        <v/>
      </c>
      <c r="C102" s="12" t="str">
        <f t="shared" si="7"/>
        <v/>
      </c>
      <c r="D102" s="12"/>
      <c r="E102" s="13"/>
      <c r="F102" s="13" t="str">
        <f>IF($A102="","",SUM($E$9:E102))</f>
        <v/>
      </c>
      <c r="G102" s="13" t="str">
        <f t="shared" si="8"/>
        <v/>
      </c>
    </row>
    <row r="103" spans="1:7" ht="14.4" x14ac:dyDescent="0.3">
      <c r="A103" s="11"/>
      <c r="B103" s="12" t="str">
        <f t="shared" si="6"/>
        <v/>
      </c>
      <c r="C103" s="12" t="str">
        <f t="shared" si="7"/>
        <v/>
      </c>
      <c r="D103" s="12"/>
      <c r="E103" s="13"/>
      <c r="F103" s="13" t="str">
        <f>IF($A103="","",SUM($E$9:E103))</f>
        <v/>
      </c>
      <c r="G103" s="13" t="str">
        <f t="shared" si="8"/>
        <v/>
      </c>
    </row>
    <row r="104" spans="1:7" ht="14.4" x14ac:dyDescent="0.3">
      <c r="A104" s="11"/>
      <c r="B104" s="12" t="str">
        <f t="shared" ref="B104:B135" si="9">IF($A104="","", "Week "&amp;(INT(($A104-$B$3)/7)+1))</f>
        <v/>
      </c>
      <c r="C104" s="12" t="str">
        <f t="shared" ref="C104:C135" si="10">IF($A104="","", "Milestone "&amp;MIN(4,ROUNDUP((INT(($A104-$B$3)/7)+1)/4,0)))</f>
        <v/>
      </c>
      <c r="D104" s="12"/>
      <c r="E104" s="13"/>
      <c r="F104" s="13" t="str">
        <f>IF($A104="","",SUM($E$9:E104))</f>
        <v/>
      </c>
      <c r="G104" s="13" t="str">
        <f t="shared" ref="G104:G135" si="11">IF($A104="","",MAX(0,$B$4-F104))</f>
        <v/>
      </c>
    </row>
    <row r="105" spans="1:7" ht="14.4" x14ac:dyDescent="0.3">
      <c r="A105" s="11"/>
      <c r="B105" s="12" t="str">
        <f t="shared" si="9"/>
        <v/>
      </c>
      <c r="C105" s="12" t="str">
        <f t="shared" si="10"/>
        <v/>
      </c>
      <c r="D105" s="12"/>
      <c r="E105" s="13"/>
      <c r="F105" s="13" t="str">
        <f>IF($A105="","",SUM($E$9:E105))</f>
        <v/>
      </c>
      <c r="G105" s="13" t="str">
        <f t="shared" si="11"/>
        <v/>
      </c>
    </row>
    <row r="106" spans="1:7" ht="14.4" x14ac:dyDescent="0.3">
      <c r="A106" s="11"/>
      <c r="B106" s="12" t="str">
        <f t="shared" si="9"/>
        <v/>
      </c>
      <c r="C106" s="12" t="str">
        <f t="shared" si="10"/>
        <v/>
      </c>
      <c r="D106" s="12"/>
      <c r="E106" s="13"/>
      <c r="F106" s="13" t="str">
        <f>IF($A106="","",SUM($E$9:E106))</f>
        <v/>
      </c>
      <c r="G106" s="13" t="str">
        <f t="shared" si="11"/>
        <v/>
      </c>
    </row>
    <row r="107" spans="1:7" ht="14.4" x14ac:dyDescent="0.3">
      <c r="A107" s="11"/>
      <c r="B107" s="12" t="str">
        <f t="shared" si="9"/>
        <v/>
      </c>
      <c r="C107" s="12" t="str">
        <f t="shared" si="10"/>
        <v/>
      </c>
      <c r="D107" s="12"/>
      <c r="E107" s="13"/>
      <c r="F107" s="13" t="str">
        <f>IF($A107="","",SUM($E$9:E107))</f>
        <v/>
      </c>
      <c r="G107" s="13" t="str">
        <f t="shared" si="11"/>
        <v/>
      </c>
    </row>
    <row r="108" spans="1:7" ht="14.4" x14ac:dyDescent="0.3">
      <c r="A108" s="11"/>
      <c r="B108" s="12" t="str">
        <f t="shared" si="9"/>
        <v/>
      </c>
      <c r="C108" s="12" t="str">
        <f t="shared" si="10"/>
        <v/>
      </c>
      <c r="D108" s="12"/>
      <c r="E108" s="13"/>
      <c r="F108" s="13" t="str">
        <f>IF($A108="","",SUM($E$9:E108))</f>
        <v/>
      </c>
      <c r="G108" s="13" t="str">
        <f t="shared" si="11"/>
        <v/>
      </c>
    </row>
    <row r="109" spans="1:7" ht="14.4" x14ac:dyDescent="0.3">
      <c r="A109" s="11"/>
      <c r="B109" s="12" t="str">
        <f t="shared" si="9"/>
        <v/>
      </c>
      <c r="C109" s="12" t="str">
        <f t="shared" si="10"/>
        <v/>
      </c>
      <c r="D109" s="12"/>
      <c r="E109" s="13"/>
      <c r="F109" s="13" t="str">
        <f>IF($A109="","",SUM($E$9:E109))</f>
        <v/>
      </c>
      <c r="G109" s="13" t="str">
        <f t="shared" si="11"/>
        <v/>
      </c>
    </row>
    <row r="110" spans="1:7" ht="14.4" x14ac:dyDescent="0.3">
      <c r="A110" s="11"/>
      <c r="B110" s="12" t="str">
        <f t="shared" si="9"/>
        <v/>
      </c>
      <c r="C110" s="12" t="str">
        <f t="shared" si="10"/>
        <v/>
      </c>
      <c r="D110" s="12"/>
      <c r="E110" s="13"/>
      <c r="F110" s="13" t="str">
        <f>IF($A110="","",SUM($E$9:E110))</f>
        <v/>
      </c>
      <c r="G110" s="13" t="str">
        <f t="shared" si="11"/>
        <v/>
      </c>
    </row>
    <row r="111" spans="1:7" ht="14.4" x14ac:dyDescent="0.3">
      <c r="A111" s="11"/>
      <c r="B111" s="12" t="str">
        <f t="shared" si="9"/>
        <v/>
      </c>
      <c r="C111" s="12" t="str">
        <f t="shared" si="10"/>
        <v/>
      </c>
      <c r="D111" s="12"/>
      <c r="E111" s="13"/>
      <c r="F111" s="13" t="str">
        <f>IF($A111="","",SUM($E$9:E111))</f>
        <v/>
      </c>
      <c r="G111" s="13" t="str">
        <f t="shared" si="11"/>
        <v/>
      </c>
    </row>
    <row r="112" spans="1:7" ht="14.4" x14ac:dyDescent="0.3">
      <c r="A112" s="11"/>
      <c r="B112" s="12" t="str">
        <f t="shared" si="9"/>
        <v/>
      </c>
      <c r="C112" s="12" t="str">
        <f t="shared" si="10"/>
        <v/>
      </c>
      <c r="D112" s="12"/>
      <c r="E112" s="13"/>
      <c r="F112" s="13" t="str">
        <f>IF($A112="","",SUM($E$9:E112))</f>
        <v/>
      </c>
      <c r="G112" s="13" t="str">
        <f t="shared" si="11"/>
        <v/>
      </c>
    </row>
    <row r="113" spans="1:7" ht="14.4" x14ac:dyDescent="0.3">
      <c r="A113" s="11"/>
      <c r="B113" s="12" t="str">
        <f t="shared" si="9"/>
        <v/>
      </c>
      <c r="C113" s="12" t="str">
        <f t="shared" si="10"/>
        <v/>
      </c>
      <c r="D113" s="12"/>
      <c r="E113" s="13"/>
      <c r="F113" s="13" t="str">
        <f>IF($A113="","",SUM($E$9:E113))</f>
        <v/>
      </c>
      <c r="G113" s="13" t="str">
        <f t="shared" si="11"/>
        <v/>
      </c>
    </row>
    <row r="114" spans="1:7" ht="14.4" x14ac:dyDescent="0.3">
      <c r="A114" s="11"/>
      <c r="B114" s="12" t="str">
        <f t="shared" si="9"/>
        <v/>
      </c>
      <c r="C114" s="12" t="str">
        <f t="shared" si="10"/>
        <v/>
      </c>
      <c r="D114" s="12"/>
      <c r="E114" s="13"/>
      <c r="F114" s="13" t="str">
        <f>IF($A114="","",SUM($E$9:E114))</f>
        <v/>
      </c>
      <c r="G114" s="13" t="str">
        <f t="shared" si="11"/>
        <v/>
      </c>
    </row>
    <row r="115" spans="1:7" ht="14.4" x14ac:dyDescent="0.3">
      <c r="A115" s="11"/>
      <c r="B115" s="12" t="str">
        <f t="shared" si="9"/>
        <v/>
      </c>
      <c r="C115" s="12" t="str">
        <f t="shared" si="10"/>
        <v/>
      </c>
      <c r="D115" s="12"/>
      <c r="E115" s="13"/>
      <c r="F115" s="13" t="str">
        <f>IF($A115="","",SUM($E$9:E115))</f>
        <v/>
      </c>
      <c r="G115" s="13" t="str">
        <f t="shared" si="11"/>
        <v/>
      </c>
    </row>
    <row r="116" spans="1:7" ht="14.4" x14ac:dyDescent="0.3">
      <c r="A116" s="11"/>
      <c r="B116" s="12" t="str">
        <f t="shared" si="9"/>
        <v/>
      </c>
      <c r="C116" s="12" t="str">
        <f t="shared" si="10"/>
        <v/>
      </c>
      <c r="D116" s="12"/>
      <c r="E116" s="13"/>
      <c r="F116" s="13" t="str">
        <f>IF($A116="","",SUM($E$9:E116))</f>
        <v/>
      </c>
      <c r="G116" s="13" t="str">
        <f t="shared" si="11"/>
        <v/>
      </c>
    </row>
    <row r="117" spans="1:7" ht="14.4" x14ac:dyDescent="0.3">
      <c r="A117" s="11"/>
      <c r="B117" s="12" t="str">
        <f t="shared" si="9"/>
        <v/>
      </c>
      <c r="C117" s="12" t="str">
        <f t="shared" si="10"/>
        <v/>
      </c>
      <c r="D117" s="12"/>
      <c r="E117" s="13"/>
      <c r="F117" s="13" t="str">
        <f>IF($A117="","",SUM($E$9:E117))</f>
        <v/>
      </c>
      <c r="G117" s="13" t="str">
        <f t="shared" si="11"/>
        <v/>
      </c>
    </row>
    <row r="118" spans="1:7" ht="14.4" x14ac:dyDescent="0.3">
      <c r="A118" s="11"/>
      <c r="B118" s="12" t="str">
        <f t="shared" si="9"/>
        <v/>
      </c>
      <c r="C118" s="12" t="str">
        <f t="shared" si="10"/>
        <v/>
      </c>
      <c r="D118" s="12"/>
      <c r="E118" s="13"/>
      <c r="F118" s="13" t="str">
        <f>IF($A118="","",SUM($E$9:E118))</f>
        <v/>
      </c>
      <c r="G118" s="13" t="str">
        <f t="shared" si="11"/>
        <v/>
      </c>
    </row>
    <row r="119" spans="1:7" ht="14.4" x14ac:dyDescent="0.3">
      <c r="A119" s="11"/>
      <c r="B119" s="12" t="str">
        <f t="shared" si="9"/>
        <v/>
      </c>
      <c r="C119" s="12" t="str">
        <f t="shared" si="10"/>
        <v/>
      </c>
      <c r="D119" s="12"/>
      <c r="E119" s="13"/>
      <c r="F119" s="13" t="str">
        <f>IF($A119="","",SUM($E$9:E119))</f>
        <v/>
      </c>
      <c r="G119" s="13" t="str">
        <f t="shared" si="11"/>
        <v/>
      </c>
    </row>
    <row r="120" spans="1:7" ht="14.4" x14ac:dyDescent="0.3">
      <c r="A120" s="11"/>
      <c r="B120" s="12" t="str">
        <f t="shared" si="9"/>
        <v/>
      </c>
      <c r="C120" s="12" t="str">
        <f t="shared" si="10"/>
        <v/>
      </c>
      <c r="D120" s="12"/>
      <c r="E120" s="13"/>
      <c r="F120" s="13" t="str">
        <f>IF($A120="","",SUM($E$9:E120))</f>
        <v/>
      </c>
      <c r="G120" s="13" t="str">
        <f t="shared" si="11"/>
        <v/>
      </c>
    </row>
    <row r="121" spans="1:7" ht="14.4" x14ac:dyDescent="0.3">
      <c r="A121" s="11"/>
      <c r="B121" s="12" t="str">
        <f t="shared" si="9"/>
        <v/>
      </c>
      <c r="C121" s="12" t="str">
        <f t="shared" si="10"/>
        <v/>
      </c>
      <c r="D121" s="12"/>
      <c r="E121" s="13"/>
      <c r="F121" s="13" t="str">
        <f>IF($A121="","",SUM($E$9:E121))</f>
        <v/>
      </c>
      <c r="G121" s="13" t="str">
        <f t="shared" si="11"/>
        <v/>
      </c>
    </row>
    <row r="122" spans="1:7" ht="14.4" x14ac:dyDescent="0.3">
      <c r="A122" s="11"/>
      <c r="B122" s="12" t="str">
        <f t="shared" si="9"/>
        <v/>
      </c>
      <c r="C122" s="12" t="str">
        <f t="shared" si="10"/>
        <v/>
      </c>
      <c r="D122" s="12"/>
      <c r="E122" s="13"/>
      <c r="F122" s="13" t="str">
        <f>IF($A122="","",SUM($E$9:E122))</f>
        <v/>
      </c>
      <c r="G122" s="13" t="str">
        <f t="shared" si="11"/>
        <v/>
      </c>
    </row>
    <row r="123" spans="1:7" ht="14.4" x14ac:dyDescent="0.3">
      <c r="A123" s="11"/>
      <c r="B123" s="12" t="str">
        <f t="shared" si="9"/>
        <v/>
      </c>
      <c r="C123" s="12" t="str">
        <f t="shared" si="10"/>
        <v/>
      </c>
      <c r="D123" s="12"/>
      <c r="E123" s="13"/>
      <c r="F123" s="13" t="str">
        <f>IF($A123="","",SUM($E$9:E123))</f>
        <v/>
      </c>
      <c r="G123" s="13" t="str">
        <f t="shared" si="11"/>
        <v/>
      </c>
    </row>
    <row r="124" spans="1:7" ht="14.4" x14ac:dyDescent="0.3">
      <c r="A124" s="11"/>
      <c r="B124" s="12" t="str">
        <f t="shared" si="9"/>
        <v/>
      </c>
      <c r="C124" s="12" t="str">
        <f t="shared" si="10"/>
        <v/>
      </c>
      <c r="D124" s="12"/>
      <c r="E124" s="13"/>
      <c r="F124" s="13" t="str">
        <f>IF($A124="","",SUM($E$9:E124))</f>
        <v/>
      </c>
      <c r="G124" s="13" t="str">
        <f t="shared" si="11"/>
        <v/>
      </c>
    </row>
    <row r="125" spans="1:7" ht="14.4" x14ac:dyDescent="0.3">
      <c r="A125" s="11"/>
      <c r="B125" s="12" t="str">
        <f t="shared" si="9"/>
        <v/>
      </c>
      <c r="C125" s="12" t="str">
        <f t="shared" si="10"/>
        <v/>
      </c>
      <c r="D125" s="12"/>
      <c r="E125" s="13"/>
      <c r="F125" s="13" t="str">
        <f>IF($A125="","",SUM($E$9:E125))</f>
        <v/>
      </c>
      <c r="G125" s="13" t="str">
        <f t="shared" si="11"/>
        <v/>
      </c>
    </row>
    <row r="126" spans="1:7" ht="14.4" x14ac:dyDescent="0.3">
      <c r="A126" s="11"/>
      <c r="B126" s="12" t="str">
        <f t="shared" si="9"/>
        <v/>
      </c>
      <c r="C126" s="12" t="str">
        <f t="shared" si="10"/>
        <v/>
      </c>
      <c r="D126" s="12"/>
      <c r="E126" s="13"/>
      <c r="F126" s="13" t="str">
        <f>IF($A126="","",SUM($E$9:E126))</f>
        <v/>
      </c>
      <c r="G126" s="13" t="str">
        <f t="shared" si="11"/>
        <v/>
      </c>
    </row>
    <row r="127" spans="1:7" ht="14.4" x14ac:dyDescent="0.3">
      <c r="A127" s="11"/>
      <c r="B127" s="12" t="str">
        <f t="shared" si="9"/>
        <v/>
      </c>
      <c r="C127" s="12" t="str">
        <f t="shared" si="10"/>
        <v/>
      </c>
      <c r="D127" s="12"/>
      <c r="E127" s="13"/>
      <c r="F127" s="13" t="str">
        <f>IF($A127="","",SUM($E$9:E127))</f>
        <v/>
      </c>
      <c r="G127" s="13" t="str">
        <f t="shared" si="11"/>
        <v/>
      </c>
    </row>
    <row r="128" spans="1:7" ht="14.4" x14ac:dyDescent="0.3">
      <c r="A128" s="11"/>
      <c r="B128" s="12" t="str">
        <f t="shared" si="9"/>
        <v/>
      </c>
      <c r="C128" s="12" t="str">
        <f t="shared" si="10"/>
        <v/>
      </c>
      <c r="D128" s="12"/>
      <c r="E128" s="13"/>
      <c r="F128" s="13" t="str">
        <f>IF($A128="","",SUM($E$9:E128))</f>
        <v/>
      </c>
      <c r="G128" s="13" t="str">
        <f t="shared" si="11"/>
        <v/>
      </c>
    </row>
    <row r="129" spans="1:7" ht="14.4" x14ac:dyDescent="0.3">
      <c r="A129" s="11"/>
      <c r="B129" s="12" t="str">
        <f t="shared" si="9"/>
        <v/>
      </c>
      <c r="C129" s="12" t="str">
        <f t="shared" si="10"/>
        <v/>
      </c>
      <c r="D129" s="12"/>
      <c r="E129" s="13"/>
      <c r="F129" s="13" t="str">
        <f>IF($A129="","",SUM($E$9:E129))</f>
        <v/>
      </c>
      <c r="G129" s="13" t="str">
        <f t="shared" si="11"/>
        <v/>
      </c>
    </row>
    <row r="130" spans="1:7" ht="14.4" x14ac:dyDescent="0.3">
      <c r="A130" s="11"/>
      <c r="B130" s="12" t="str">
        <f t="shared" si="9"/>
        <v/>
      </c>
      <c r="C130" s="12" t="str">
        <f t="shared" si="10"/>
        <v/>
      </c>
      <c r="D130" s="12"/>
      <c r="E130" s="13"/>
      <c r="F130" s="13" t="str">
        <f>IF($A130="","",SUM($E$9:E130))</f>
        <v/>
      </c>
      <c r="G130" s="13" t="str">
        <f t="shared" si="11"/>
        <v/>
      </c>
    </row>
    <row r="131" spans="1:7" ht="14.4" x14ac:dyDescent="0.3">
      <c r="A131" s="11"/>
      <c r="B131" s="12" t="str">
        <f t="shared" si="9"/>
        <v/>
      </c>
      <c r="C131" s="12" t="str">
        <f t="shared" si="10"/>
        <v/>
      </c>
      <c r="D131" s="12"/>
      <c r="E131" s="13"/>
      <c r="F131" s="13" t="str">
        <f>IF($A131="","",SUM($E$9:E131))</f>
        <v/>
      </c>
      <c r="G131" s="13" t="str">
        <f t="shared" si="11"/>
        <v/>
      </c>
    </row>
    <row r="132" spans="1:7" ht="14.4" x14ac:dyDescent="0.3">
      <c r="A132" s="11"/>
      <c r="B132" s="12" t="str">
        <f t="shared" si="9"/>
        <v/>
      </c>
      <c r="C132" s="12" t="str">
        <f t="shared" si="10"/>
        <v/>
      </c>
      <c r="D132" s="12"/>
      <c r="E132" s="13"/>
      <c r="F132" s="13" t="str">
        <f>IF($A132="","",SUM($E$9:E132))</f>
        <v/>
      </c>
      <c r="G132" s="13" t="str">
        <f t="shared" si="11"/>
        <v/>
      </c>
    </row>
    <row r="133" spans="1:7" ht="14.4" x14ac:dyDescent="0.3">
      <c r="A133" s="11"/>
      <c r="B133" s="12" t="str">
        <f t="shared" si="9"/>
        <v/>
      </c>
      <c r="C133" s="12" t="str">
        <f t="shared" si="10"/>
        <v/>
      </c>
      <c r="D133" s="12"/>
      <c r="E133" s="13"/>
      <c r="F133" s="13" t="str">
        <f>IF($A133="","",SUM($E$9:E133))</f>
        <v/>
      </c>
      <c r="G133" s="13" t="str">
        <f t="shared" si="11"/>
        <v/>
      </c>
    </row>
    <row r="134" spans="1:7" ht="14.4" x14ac:dyDescent="0.3">
      <c r="A134" s="11"/>
      <c r="B134" s="12" t="str">
        <f t="shared" si="9"/>
        <v/>
      </c>
      <c r="C134" s="12" t="str">
        <f t="shared" si="10"/>
        <v/>
      </c>
      <c r="D134" s="12"/>
      <c r="E134" s="13"/>
      <c r="F134" s="13" t="str">
        <f>IF($A134="","",SUM($E$9:E134))</f>
        <v/>
      </c>
      <c r="G134" s="13" t="str">
        <f t="shared" si="11"/>
        <v/>
      </c>
    </row>
    <row r="135" spans="1:7" ht="14.4" x14ac:dyDescent="0.3">
      <c r="A135" s="11"/>
      <c r="B135" s="12" t="str">
        <f t="shared" si="9"/>
        <v/>
      </c>
      <c r="C135" s="12" t="str">
        <f t="shared" si="10"/>
        <v/>
      </c>
      <c r="D135" s="12"/>
      <c r="E135" s="13"/>
      <c r="F135" s="13" t="str">
        <f>IF($A135="","",SUM($E$9:E135))</f>
        <v/>
      </c>
      <c r="G135" s="13" t="str">
        <f t="shared" si="11"/>
        <v/>
      </c>
    </row>
    <row r="136" spans="1:7" ht="14.4" x14ac:dyDescent="0.3">
      <c r="A136" s="11"/>
      <c r="B136" s="12" t="str">
        <f t="shared" ref="B136:B159" si="12">IF($A136="","", "Week "&amp;(INT(($A136-$B$3)/7)+1))</f>
        <v/>
      </c>
      <c r="C136" s="12" t="str">
        <f t="shared" ref="C136:C159" si="13">IF($A136="","", "Milestone "&amp;MIN(4,ROUNDUP((INT(($A136-$B$3)/7)+1)/4,0)))</f>
        <v/>
      </c>
      <c r="D136" s="12"/>
      <c r="E136" s="13"/>
      <c r="F136" s="13" t="str">
        <f>IF($A136="","",SUM($E$9:E136))</f>
        <v/>
      </c>
      <c r="G136" s="13" t="str">
        <f t="shared" ref="G136:G159" si="14">IF($A136="","",MAX(0,$B$4-F136))</f>
        <v/>
      </c>
    </row>
    <row r="137" spans="1:7" ht="14.4" x14ac:dyDescent="0.3">
      <c r="A137" s="11"/>
      <c r="B137" s="12" t="str">
        <f t="shared" si="12"/>
        <v/>
      </c>
      <c r="C137" s="12" t="str">
        <f t="shared" si="13"/>
        <v/>
      </c>
      <c r="D137" s="12"/>
      <c r="E137" s="13"/>
      <c r="F137" s="13" t="str">
        <f>IF($A137="","",SUM($E$9:E137))</f>
        <v/>
      </c>
      <c r="G137" s="13" t="str">
        <f t="shared" si="14"/>
        <v/>
      </c>
    </row>
    <row r="138" spans="1:7" ht="14.4" x14ac:dyDescent="0.3">
      <c r="A138" s="11"/>
      <c r="B138" s="12" t="str">
        <f t="shared" si="12"/>
        <v/>
      </c>
      <c r="C138" s="12" t="str">
        <f t="shared" si="13"/>
        <v/>
      </c>
      <c r="D138" s="12"/>
      <c r="E138" s="13"/>
      <c r="F138" s="13" t="str">
        <f>IF($A138="","",SUM($E$9:E138))</f>
        <v/>
      </c>
      <c r="G138" s="13" t="str">
        <f t="shared" si="14"/>
        <v/>
      </c>
    </row>
    <row r="139" spans="1:7" ht="14.4" x14ac:dyDescent="0.3">
      <c r="A139" s="11"/>
      <c r="B139" s="12" t="str">
        <f t="shared" si="12"/>
        <v/>
      </c>
      <c r="C139" s="12" t="str">
        <f t="shared" si="13"/>
        <v/>
      </c>
      <c r="D139" s="12"/>
      <c r="E139" s="13"/>
      <c r="F139" s="13" t="str">
        <f>IF($A139="","",SUM($E$9:E139))</f>
        <v/>
      </c>
      <c r="G139" s="13" t="str">
        <f t="shared" si="14"/>
        <v/>
      </c>
    </row>
    <row r="140" spans="1:7" ht="14.4" x14ac:dyDescent="0.3">
      <c r="A140" s="11"/>
      <c r="B140" s="12" t="str">
        <f t="shared" si="12"/>
        <v/>
      </c>
      <c r="C140" s="12" t="str">
        <f t="shared" si="13"/>
        <v/>
      </c>
      <c r="D140" s="12"/>
      <c r="E140" s="13"/>
      <c r="F140" s="13" t="str">
        <f>IF($A140="","",SUM($E$9:E140))</f>
        <v/>
      </c>
      <c r="G140" s="13" t="str">
        <f t="shared" si="14"/>
        <v/>
      </c>
    </row>
    <row r="141" spans="1:7" ht="14.4" x14ac:dyDescent="0.3">
      <c r="A141" s="11"/>
      <c r="B141" s="12" t="str">
        <f t="shared" si="12"/>
        <v/>
      </c>
      <c r="C141" s="12" t="str">
        <f t="shared" si="13"/>
        <v/>
      </c>
      <c r="D141" s="12"/>
      <c r="E141" s="13"/>
      <c r="F141" s="13" t="str">
        <f>IF($A141="","",SUM($E$9:E141))</f>
        <v/>
      </c>
      <c r="G141" s="13" t="str">
        <f t="shared" si="14"/>
        <v/>
      </c>
    </row>
    <row r="142" spans="1:7" ht="14.4" x14ac:dyDescent="0.3">
      <c r="A142" s="11"/>
      <c r="B142" s="12" t="str">
        <f t="shared" si="12"/>
        <v/>
      </c>
      <c r="C142" s="12" t="str">
        <f t="shared" si="13"/>
        <v/>
      </c>
      <c r="D142" s="12"/>
      <c r="E142" s="13"/>
      <c r="F142" s="13" t="str">
        <f>IF($A142="","",SUM($E$9:E142))</f>
        <v/>
      </c>
      <c r="G142" s="13" t="str">
        <f t="shared" si="14"/>
        <v/>
      </c>
    </row>
    <row r="143" spans="1:7" ht="14.4" x14ac:dyDescent="0.3">
      <c r="A143" s="11"/>
      <c r="B143" s="12" t="str">
        <f t="shared" si="12"/>
        <v/>
      </c>
      <c r="C143" s="12" t="str">
        <f t="shared" si="13"/>
        <v/>
      </c>
      <c r="D143" s="12"/>
      <c r="E143" s="13"/>
      <c r="F143" s="13" t="str">
        <f>IF($A143="","",SUM($E$9:E143))</f>
        <v/>
      </c>
      <c r="G143" s="13" t="str">
        <f t="shared" si="14"/>
        <v/>
      </c>
    </row>
    <row r="144" spans="1:7" ht="14.4" x14ac:dyDescent="0.3">
      <c r="A144" s="11"/>
      <c r="B144" s="12" t="str">
        <f t="shared" si="12"/>
        <v/>
      </c>
      <c r="C144" s="12" t="str">
        <f t="shared" si="13"/>
        <v/>
      </c>
      <c r="D144" s="12"/>
      <c r="E144" s="13"/>
      <c r="F144" s="13" t="str">
        <f>IF($A144="","",SUM($E$9:E144))</f>
        <v/>
      </c>
      <c r="G144" s="13" t="str">
        <f t="shared" si="14"/>
        <v/>
      </c>
    </row>
    <row r="145" spans="1:7" ht="14.4" x14ac:dyDescent="0.3">
      <c r="A145" s="11"/>
      <c r="B145" s="12" t="str">
        <f t="shared" si="12"/>
        <v/>
      </c>
      <c r="C145" s="12" t="str">
        <f t="shared" si="13"/>
        <v/>
      </c>
      <c r="D145" s="12"/>
      <c r="E145" s="13"/>
      <c r="F145" s="13" t="str">
        <f>IF($A145="","",SUM($E$9:E145))</f>
        <v/>
      </c>
      <c r="G145" s="13" t="str">
        <f t="shared" si="14"/>
        <v/>
      </c>
    </row>
    <row r="146" spans="1:7" ht="14.4" x14ac:dyDescent="0.3">
      <c r="A146" s="11"/>
      <c r="B146" s="12" t="str">
        <f t="shared" si="12"/>
        <v/>
      </c>
      <c r="C146" s="12" t="str">
        <f t="shared" si="13"/>
        <v/>
      </c>
      <c r="D146" s="12"/>
      <c r="E146" s="13"/>
      <c r="F146" s="13" t="str">
        <f>IF($A146="","",SUM($E$9:E146))</f>
        <v/>
      </c>
      <c r="G146" s="13" t="str">
        <f t="shared" si="14"/>
        <v/>
      </c>
    </row>
    <row r="147" spans="1:7" ht="14.4" x14ac:dyDescent="0.3">
      <c r="A147" s="11"/>
      <c r="B147" s="12" t="str">
        <f t="shared" si="12"/>
        <v/>
      </c>
      <c r="C147" s="12" t="str">
        <f t="shared" si="13"/>
        <v/>
      </c>
      <c r="D147" s="12"/>
      <c r="E147" s="13"/>
      <c r="F147" s="13" t="str">
        <f>IF($A147="","",SUM($E$9:E147))</f>
        <v/>
      </c>
      <c r="G147" s="13" t="str">
        <f t="shared" si="14"/>
        <v/>
      </c>
    </row>
    <row r="148" spans="1:7" ht="14.4" x14ac:dyDescent="0.3">
      <c r="A148" s="11"/>
      <c r="B148" s="12" t="str">
        <f t="shared" si="12"/>
        <v/>
      </c>
      <c r="C148" s="12" t="str">
        <f t="shared" si="13"/>
        <v/>
      </c>
      <c r="D148" s="12"/>
      <c r="E148" s="13"/>
      <c r="F148" s="13" t="str">
        <f>IF($A148="","",SUM($E$9:E148))</f>
        <v/>
      </c>
      <c r="G148" s="13" t="str">
        <f t="shared" si="14"/>
        <v/>
      </c>
    </row>
    <row r="149" spans="1:7" ht="14.4" x14ac:dyDescent="0.3">
      <c r="A149" s="11"/>
      <c r="B149" s="12" t="str">
        <f t="shared" si="12"/>
        <v/>
      </c>
      <c r="C149" s="12" t="str">
        <f t="shared" si="13"/>
        <v/>
      </c>
      <c r="D149" s="12"/>
      <c r="E149" s="13"/>
      <c r="F149" s="13" t="str">
        <f>IF($A149="","",SUM($E$9:E149))</f>
        <v/>
      </c>
      <c r="G149" s="13" t="str">
        <f t="shared" si="14"/>
        <v/>
      </c>
    </row>
    <row r="150" spans="1:7" ht="14.4" x14ac:dyDescent="0.3">
      <c r="A150" s="11"/>
      <c r="B150" s="12" t="str">
        <f t="shared" si="12"/>
        <v/>
      </c>
      <c r="C150" s="12" t="str">
        <f t="shared" si="13"/>
        <v/>
      </c>
      <c r="D150" s="12"/>
      <c r="E150" s="13"/>
      <c r="F150" s="13" t="str">
        <f>IF($A150="","",SUM($E$9:E150))</f>
        <v/>
      </c>
      <c r="G150" s="13" t="str">
        <f t="shared" si="14"/>
        <v/>
      </c>
    </row>
    <row r="151" spans="1:7" ht="14.4" x14ac:dyDescent="0.3">
      <c r="A151" s="11"/>
      <c r="B151" s="12" t="str">
        <f t="shared" si="12"/>
        <v/>
      </c>
      <c r="C151" s="12" t="str">
        <f t="shared" si="13"/>
        <v/>
      </c>
      <c r="D151" s="12"/>
      <c r="E151" s="13"/>
      <c r="F151" s="13" t="str">
        <f>IF($A151="","",SUM($E$9:E151))</f>
        <v/>
      </c>
      <c r="G151" s="13" t="str">
        <f t="shared" si="14"/>
        <v/>
      </c>
    </row>
    <row r="152" spans="1:7" ht="14.4" x14ac:dyDescent="0.3">
      <c r="A152" s="11"/>
      <c r="B152" s="12" t="str">
        <f t="shared" si="12"/>
        <v/>
      </c>
      <c r="C152" s="12" t="str">
        <f t="shared" si="13"/>
        <v/>
      </c>
      <c r="D152" s="12"/>
      <c r="E152" s="13"/>
      <c r="F152" s="13" t="str">
        <f>IF($A152="","",SUM($E$9:E152))</f>
        <v/>
      </c>
      <c r="G152" s="13" t="str">
        <f t="shared" si="14"/>
        <v/>
      </c>
    </row>
    <row r="153" spans="1:7" ht="14.4" x14ac:dyDescent="0.3">
      <c r="A153" s="11"/>
      <c r="B153" s="12" t="str">
        <f t="shared" si="12"/>
        <v/>
      </c>
      <c r="C153" s="12" t="str">
        <f t="shared" si="13"/>
        <v/>
      </c>
      <c r="D153" s="12"/>
      <c r="E153" s="13"/>
      <c r="F153" s="13" t="str">
        <f>IF($A153="","",SUM($E$9:E153))</f>
        <v/>
      </c>
      <c r="G153" s="13" t="str">
        <f t="shared" si="14"/>
        <v/>
      </c>
    </row>
    <row r="154" spans="1:7" ht="14.4" x14ac:dyDescent="0.3">
      <c r="A154" s="11"/>
      <c r="B154" s="12" t="str">
        <f t="shared" si="12"/>
        <v/>
      </c>
      <c r="C154" s="12" t="str">
        <f t="shared" si="13"/>
        <v/>
      </c>
      <c r="D154" s="12"/>
      <c r="E154" s="13"/>
      <c r="F154" s="13" t="str">
        <f>IF($A154="","",SUM($E$9:E154))</f>
        <v/>
      </c>
      <c r="G154" s="13" t="str">
        <f t="shared" si="14"/>
        <v/>
      </c>
    </row>
    <row r="155" spans="1:7" ht="14.4" x14ac:dyDescent="0.3">
      <c r="A155" s="11"/>
      <c r="B155" s="12" t="str">
        <f t="shared" si="12"/>
        <v/>
      </c>
      <c r="C155" s="12" t="str">
        <f t="shared" si="13"/>
        <v/>
      </c>
      <c r="D155" s="12"/>
      <c r="E155" s="13"/>
      <c r="F155" s="13" t="str">
        <f>IF($A155="","",SUM($E$9:E155))</f>
        <v/>
      </c>
      <c r="G155" s="13" t="str">
        <f t="shared" si="14"/>
        <v/>
      </c>
    </row>
    <row r="156" spans="1:7" ht="14.4" x14ac:dyDescent="0.3">
      <c r="A156" s="11"/>
      <c r="B156" s="12" t="str">
        <f t="shared" si="12"/>
        <v/>
      </c>
      <c r="C156" s="12" t="str">
        <f t="shared" si="13"/>
        <v/>
      </c>
      <c r="D156" s="12"/>
      <c r="E156" s="13"/>
      <c r="F156" s="13" t="str">
        <f>IF($A156="","",SUM($E$9:E156))</f>
        <v/>
      </c>
      <c r="G156" s="13" t="str">
        <f t="shared" si="14"/>
        <v/>
      </c>
    </row>
    <row r="157" spans="1:7" ht="14.4" x14ac:dyDescent="0.3">
      <c r="A157" s="11"/>
      <c r="B157" s="12" t="str">
        <f t="shared" si="12"/>
        <v/>
      </c>
      <c r="C157" s="12" t="str">
        <f t="shared" si="13"/>
        <v/>
      </c>
      <c r="D157" s="12"/>
      <c r="E157" s="13"/>
      <c r="F157" s="13" t="str">
        <f>IF($A157="","",SUM($E$9:E157))</f>
        <v/>
      </c>
      <c r="G157" s="13" t="str">
        <f t="shared" si="14"/>
        <v/>
      </c>
    </row>
    <row r="158" spans="1:7" ht="14.4" x14ac:dyDescent="0.3">
      <c r="A158" s="11"/>
      <c r="B158" s="12" t="str">
        <f t="shared" si="12"/>
        <v/>
      </c>
      <c r="C158" s="12" t="str">
        <f t="shared" si="13"/>
        <v/>
      </c>
      <c r="D158" s="12"/>
      <c r="E158" s="13"/>
      <c r="F158" s="13" t="str">
        <f>IF($A158="","",SUM($E$9:E158))</f>
        <v/>
      </c>
      <c r="G158" s="13" t="str">
        <f t="shared" si="14"/>
        <v/>
      </c>
    </row>
    <row r="159" spans="1:7" ht="14.4" x14ac:dyDescent="0.3">
      <c r="A159" s="11"/>
      <c r="B159" s="12" t="str">
        <f t="shared" si="12"/>
        <v/>
      </c>
      <c r="C159" s="12" t="str">
        <f t="shared" si="13"/>
        <v/>
      </c>
      <c r="D159" s="12"/>
      <c r="E159" s="13"/>
      <c r="F159" s="13" t="str">
        <f>IF($A159="","",SUM($E$9:E159))</f>
        <v/>
      </c>
      <c r="G159" s="13" t="str">
        <f t="shared" si="14"/>
        <v/>
      </c>
    </row>
    <row r="161" spans="1:7" ht="18.3" customHeight="1" x14ac:dyDescent="0.3">
      <c r="A161" s="3" t="s">
        <v>49</v>
      </c>
      <c r="B161" s="14" t="s">
        <v>50</v>
      </c>
      <c r="C161" s="14"/>
      <c r="D161" s="14"/>
      <c r="E161" s="14"/>
      <c r="F161" s="14"/>
      <c r="G161" s="14"/>
    </row>
    <row r="162" spans="1:7" ht="18.3" customHeight="1" x14ac:dyDescent="0.3">
      <c r="A162" s="3" t="s">
        <v>51</v>
      </c>
      <c r="B162" s="14" t="s">
        <v>52</v>
      </c>
      <c r="C162" s="14"/>
      <c r="D162" s="14"/>
      <c r="E162" s="14"/>
      <c r="F162" s="14"/>
      <c r="G162" s="14"/>
    </row>
    <row r="163" spans="1:7" ht="18.3" customHeight="1" x14ac:dyDescent="0.3">
      <c r="A163" s="3" t="s">
        <v>53</v>
      </c>
      <c r="B163" s="14" t="s">
        <v>54</v>
      </c>
      <c r="C163" s="14"/>
      <c r="D163" s="14"/>
      <c r="E163" s="14"/>
      <c r="F163" s="14"/>
      <c r="G163" s="14"/>
    </row>
  </sheetData>
  <mergeCells count="8">
    <mergeCell ref="B7:C7"/>
    <mergeCell ref="D5:D6"/>
    <mergeCell ref="E5:E6"/>
    <mergeCell ref="A1:G1"/>
    <mergeCell ref="B3:C3"/>
    <mergeCell ref="B4:C4"/>
    <mergeCell ref="B5:C5"/>
    <mergeCell ref="B6:C6"/>
  </mergeCells>
  <conditionalFormatting sqref="F4:F5">
    <cfRule type="dataBar" priority="1">
      <dataBar>
        <cfvo type="min"/>
        <cfvo type="max"/>
        <color rgb="FF70AD47"/>
      </dataBar>
    </cfRule>
    <cfRule type="dataBar" priority="5">
      <dataBar>
        <cfvo type="min"/>
        <cfvo type="max"/>
        <color rgb="FF70AD47"/>
      </dataBar>
    </cfRule>
    <cfRule type="dataBar" priority="6">
      <dataBar>
        <cfvo type="min"/>
        <cfvo type="max"/>
        <color rgb="FF70AD47"/>
      </dataBar>
    </cfRule>
    <cfRule type="dataBar" priority="7">
      <dataBar>
        <cfvo type="min"/>
        <cfvo type="max"/>
        <color rgb="FF70AD47"/>
      </dataBar>
      <extLst>
        <ext xmlns:x14="http://schemas.microsoft.com/office/spreadsheetml/2009/9/main" uri="{B025F937-C7B1-47D3-B67F-A62EFF666E3E}">
          <x14:id>{D3AAE0AC-0537-082F-EA47-8576BEA4B696}</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3AAE0AC-0537-082F-EA47-8576BEA4B696}">
            <x14:dataBar>
              <x14:cfvo type="min"/>
              <x14:cfvo type="max"/>
              <x14:negativeFillColor auto="1"/>
              <x14:axisColor auto="1"/>
            </x14:dataBar>
          </x14:cfRule>
          <xm:sqref>F4:F5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workbookViewId="0">
      <selection activeCell="G7" sqref="G7"/>
    </sheetView>
  </sheetViews>
  <sheetFormatPr defaultRowHeight="14.4" x14ac:dyDescent="0.3"/>
  <cols>
    <col min="1" max="2" width="14" customWidth="1"/>
    <col min="3" max="4" width="12" customWidth="1"/>
    <col min="5" max="5" width="26" customWidth="1"/>
    <col min="6" max="6" width="45" customWidth="1"/>
    <col min="7" max="8" width="12" customWidth="1"/>
    <col min="9" max="11" width="14" customWidth="1"/>
    <col min="12" max="12" width="20" customWidth="1"/>
  </cols>
  <sheetData>
    <row r="1" spans="1:12" ht="14.25" customHeight="1" x14ac:dyDescent="0.3">
      <c r="A1" s="19" t="s">
        <v>55</v>
      </c>
      <c r="B1" s="19"/>
      <c r="C1" s="19"/>
      <c r="D1" s="19"/>
      <c r="E1" s="19"/>
      <c r="F1" s="19"/>
      <c r="G1" s="19"/>
      <c r="H1" s="19"/>
      <c r="I1" s="19"/>
      <c r="J1" s="19"/>
      <c r="K1" s="19"/>
      <c r="L1" s="19"/>
    </row>
    <row r="3" spans="1:12" ht="28.2" customHeight="1" x14ac:dyDescent="0.3">
      <c r="A3" s="9" t="s">
        <v>16</v>
      </c>
      <c r="B3" s="9" t="s">
        <v>56</v>
      </c>
      <c r="C3" s="9" t="s">
        <v>57</v>
      </c>
      <c r="D3" s="9" t="s">
        <v>58</v>
      </c>
      <c r="E3" s="9" t="s">
        <v>59</v>
      </c>
      <c r="F3" s="9" t="s">
        <v>60</v>
      </c>
      <c r="G3" s="9" t="s">
        <v>61</v>
      </c>
      <c r="H3" s="9" t="s">
        <v>62</v>
      </c>
      <c r="I3" s="9" t="s">
        <v>63</v>
      </c>
      <c r="J3" s="9" t="s">
        <v>19</v>
      </c>
      <c r="K3" s="9" t="s">
        <v>64</v>
      </c>
      <c r="L3" s="9" t="s">
        <v>65</v>
      </c>
    </row>
    <row r="4" spans="1:12" ht="28.8" x14ac:dyDescent="0.3">
      <c r="A4" s="4" t="s">
        <v>66</v>
      </c>
      <c r="B4" s="4" t="s">
        <v>67</v>
      </c>
      <c r="C4" s="17">
        <v>46116</v>
      </c>
      <c r="D4" s="17">
        <v>46143</v>
      </c>
      <c r="E4" s="4" t="s">
        <v>68</v>
      </c>
      <c r="F4" s="4" t="s">
        <v>69</v>
      </c>
      <c r="G4" s="10">
        <v>67.5</v>
      </c>
      <c r="H4" s="10">
        <v>16</v>
      </c>
      <c r="I4" s="15">
        <v>0.23703703703703705</v>
      </c>
      <c r="J4" s="10">
        <v>16</v>
      </c>
      <c r="K4" s="10">
        <v>254</v>
      </c>
      <c r="L4" s="4" t="s">
        <v>159</v>
      </c>
    </row>
    <row r="5" spans="1:12" ht="43.2" x14ac:dyDescent="0.3">
      <c r="A5" s="4" t="s">
        <v>70</v>
      </c>
      <c r="B5" s="4" t="s">
        <v>71</v>
      </c>
      <c r="C5" s="17">
        <v>46144</v>
      </c>
      <c r="D5" s="17">
        <v>46171</v>
      </c>
      <c r="E5" s="4" t="s">
        <v>72</v>
      </c>
      <c r="F5" s="4" t="s">
        <v>73</v>
      </c>
      <c r="G5" s="10">
        <v>67.5</v>
      </c>
      <c r="H5" s="10">
        <v>74</v>
      </c>
      <c r="I5" s="15">
        <v>1.0962962962962963</v>
      </c>
      <c r="J5" s="10">
        <v>90</v>
      </c>
      <c r="K5" s="10">
        <v>180</v>
      </c>
      <c r="L5" s="4" t="s">
        <v>160</v>
      </c>
    </row>
    <row r="6" spans="1:12" ht="28.2" customHeight="1" x14ac:dyDescent="0.3">
      <c r="A6" s="4" t="s">
        <v>74</v>
      </c>
      <c r="B6" s="4" t="s">
        <v>75</v>
      </c>
      <c r="C6" s="17">
        <v>46172</v>
      </c>
      <c r="D6" s="17">
        <v>46199</v>
      </c>
      <c r="E6" s="4" t="s">
        <v>76</v>
      </c>
      <c r="F6" s="4" t="s">
        <v>77</v>
      </c>
      <c r="G6" s="10">
        <v>67.5</v>
      </c>
      <c r="H6" s="10">
        <v>45.5</v>
      </c>
      <c r="I6" s="15">
        <v>0.67407407407407405</v>
      </c>
      <c r="J6" s="10">
        <v>135.5</v>
      </c>
      <c r="K6" s="10">
        <v>134.5</v>
      </c>
      <c r="L6" s="4" t="s">
        <v>161</v>
      </c>
    </row>
    <row r="7" spans="1:12" ht="28.2" customHeight="1" x14ac:dyDescent="0.3">
      <c r="A7" s="4" t="s">
        <v>78</v>
      </c>
      <c r="B7" s="4" t="s">
        <v>79</v>
      </c>
      <c r="C7" s="17">
        <v>46200</v>
      </c>
      <c r="D7" s="17">
        <v>46227</v>
      </c>
      <c r="E7" s="4" t="s">
        <v>80</v>
      </c>
      <c r="F7" s="4" t="s">
        <v>81</v>
      </c>
      <c r="G7" s="10">
        <v>67.5</v>
      </c>
      <c r="H7" s="10">
        <v>0</v>
      </c>
      <c r="I7" s="15">
        <v>0</v>
      </c>
      <c r="J7" s="10">
        <v>135.5</v>
      </c>
      <c r="K7" s="10">
        <v>134.5</v>
      </c>
      <c r="L7" s="4" t="s">
        <v>162</v>
      </c>
    </row>
    <row r="8" spans="1:12" x14ac:dyDescent="0.3">
      <c r="A8" s="4"/>
      <c r="B8" s="4"/>
      <c r="C8" s="4"/>
      <c r="D8" s="4"/>
      <c r="E8" s="4"/>
      <c r="F8" s="4"/>
      <c r="G8" s="4"/>
      <c r="H8" s="4"/>
      <c r="I8" s="4"/>
      <c r="J8" s="4"/>
      <c r="K8" s="4"/>
      <c r="L8" s="4"/>
    </row>
    <row r="9" spans="1:12" x14ac:dyDescent="0.3">
      <c r="A9" s="20" t="s">
        <v>82</v>
      </c>
      <c r="B9" s="20"/>
      <c r="C9" s="20"/>
      <c r="D9" s="20"/>
      <c r="E9" s="20"/>
      <c r="F9" s="20"/>
      <c r="G9" s="20"/>
      <c r="H9" s="20"/>
      <c r="I9" s="20"/>
      <c r="J9" s="20"/>
      <c r="K9" s="20"/>
      <c r="L9" s="20"/>
    </row>
    <row r="10" spans="1:12" ht="43.2" x14ac:dyDescent="0.3">
      <c r="A10" s="3" t="s">
        <v>83</v>
      </c>
      <c r="B10" s="21" t="s">
        <v>84</v>
      </c>
      <c r="C10" s="21"/>
      <c r="D10" s="21"/>
      <c r="E10" s="21"/>
      <c r="F10" s="21"/>
      <c r="G10" s="21"/>
      <c r="H10" s="21"/>
      <c r="I10" s="21"/>
      <c r="J10" s="21"/>
      <c r="K10" s="21"/>
      <c r="L10" s="21"/>
    </row>
    <row r="11" spans="1:12" ht="28.8" x14ac:dyDescent="0.3">
      <c r="A11" s="3" t="s">
        <v>85</v>
      </c>
      <c r="B11" s="21" t="s">
        <v>86</v>
      </c>
      <c r="C11" s="21"/>
      <c r="D11" s="21"/>
      <c r="E11" s="21"/>
      <c r="F11" s="21"/>
      <c r="G11" s="21"/>
      <c r="H11" s="21"/>
      <c r="I11" s="21"/>
      <c r="J11" s="21"/>
      <c r="K11" s="21"/>
      <c r="L11" s="21"/>
    </row>
    <row r="12" spans="1:12" ht="28.8" x14ac:dyDescent="0.3">
      <c r="A12" s="3" t="s">
        <v>87</v>
      </c>
      <c r="B12" s="21" t="s">
        <v>88</v>
      </c>
      <c r="C12" s="21"/>
      <c r="D12" s="21"/>
      <c r="E12" s="21"/>
      <c r="F12" s="21"/>
      <c r="G12" s="21"/>
      <c r="H12" s="21"/>
      <c r="I12" s="21"/>
      <c r="J12" s="21"/>
      <c r="K12" s="21"/>
      <c r="L12" s="21"/>
    </row>
  </sheetData>
  <mergeCells count="5">
    <mergeCell ref="A1:L1"/>
    <mergeCell ref="A9:L9"/>
    <mergeCell ref="B10:L10"/>
    <mergeCell ref="B11:L11"/>
    <mergeCell ref="B12:L12"/>
  </mergeCells>
  <conditionalFormatting sqref="I4:I7">
    <cfRule type="dataBar" priority="1">
      <dataBar>
        <cfvo type="min"/>
        <cfvo type="max"/>
        <color rgb="FF70AD47"/>
      </dataBar>
    </cfRule>
    <cfRule type="dataBar" priority="4">
      <dataBar>
        <cfvo type="min"/>
        <cfvo type="max"/>
        <color rgb="FF70AD47"/>
      </dataBar>
    </cfRule>
    <cfRule type="dataBar" priority="5">
      <dataBar>
        <cfvo type="min"/>
        <cfvo type="max"/>
        <color rgb="FF70AD47"/>
      </dataBar>
    </cfRule>
    <cfRule type="dataBar" priority="6">
      <dataBar>
        <cfvo type="min"/>
        <cfvo type="max"/>
        <color rgb="FF70AD47"/>
      </dataBar>
      <extLst>
        <ext xmlns:x14="http://schemas.microsoft.com/office/spreadsheetml/2009/9/main" uri="{B025F937-C7B1-47D3-B67F-A62EFF666E3E}">
          <x14:id>{A1079011-8773-F4E8-909E-A361F2F1E5F9}</x14:id>
        </ext>
      </extLst>
    </cfRule>
  </conditionalFormatting>
  <conditionalFormatting sqref="L4:L7">
    <cfRule type="expression" dxfId="1" priority="2">
      <formula>$L4="Behind planning target"</formula>
    </cfRule>
    <cfRule type="expression" dxfId="0" priority="3">
      <formula>$L4="Target complete"</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1079011-8773-F4E8-909E-A361F2F1E5F9}">
            <x14:dataBar>
              <x14:cfvo type="min"/>
              <x14:cfvo type="max"/>
              <x14:negativeFillColor auto="1"/>
              <x14:axisColor auto="1"/>
            </x14:dataBar>
          </x14:cfRule>
          <xm:sqref>I4:I7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topLeftCell="A9" workbookViewId="0">
      <selection activeCell="G13" sqref="G13"/>
    </sheetView>
  </sheetViews>
  <sheetFormatPr defaultRowHeight="14.4" x14ac:dyDescent="0.3"/>
  <cols>
    <col min="1" max="1" width="10" customWidth="1"/>
    <col min="2" max="3" width="12" customWidth="1"/>
    <col min="4" max="4" width="14" customWidth="1"/>
    <col min="5" max="5" width="45" customWidth="1"/>
    <col min="6" max="7" width="12" customWidth="1"/>
    <col min="8" max="8" width="14" customWidth="1"/>
    <col min="9" max="9" width="40" customWidth="1"/>
  </cols>
  <sheetData>
    <row r="1" spans="1:9" ht="14.25" customHeight="1" x14ac:dyDescent="0.3">
      <c r="A1" s="19" t="s">
        <v>89</v>
      </c>
      <c r="B1" s="19"/>
      <c r="C1" s="19"/>
      <c r="D1" s="19"/>
      <c r="E1" s="19"/>
      <c r="F1" s="19"/>
      <c r="G1" s="19"/>
      <c r="H1" s="19"/>
      <c r="I1" s="19"/>
    </row>
    <row r="3" spans="1:9" ht="22.95" customHeight="1" x14ac:dyDescent="0.3">
      <c r="A3" s="9" t="s">
        <v>15</v>
      </c>
      <c r="B3" s="9" t="s">
        <v>57</v>
      </c>
      <c r="C3" s="9" t="s">
        <v>58</v>
      </c>
      <c r="D3" s="9" t="s">
        <v>16</v>
      </c>
      <c r="E3" s="9" t="s">
        <v>90</v>
      </c>
      <c r="F3" s="9" t="s">
        <v>91</v>
      </c>
      <c r="G3" s="9" t="s">
        <v>62</v>
      </c>
      <c r="H3" s="9" t="s">
        <v>19</v>
      </c>
      <c r="I3" s="9" t="s">
        <v>92</v>
      </c>
    </row>
    <row r="4" spans="1:9" ht="28.8" x14ac:dyDescent="0.3">
      <c r="A4" s="12" t="s">
        <v>93</v>
      </c>
      <c r="B4" s="11">
        <v>46116</v>
      </c>
      <c r="C4" s="11">
        <v>46122</v>
      </c>
      <c r="D4" s="12" t="s">
        <v>66</v>
      </c>
      <c r="E4" s="12" t="s">
        <v>94</v>
      </c>
      <c r="F4" s="13">
        <v>16.88</v>
      </c>
      <c r="G4" s="13">
        <v>3.5</v>
      </c>
      <c r="H4" s="13">
        <v>3.5</v>
      </c>
      <c r="I4" s="12" t="s">
        <v>95</v>
      </c>
    </row>
    <row r="5" spans="1:9" ht="28.8" x14ac:dyDescent="0.3">
      <c r="A5" s="12" t="s">
        <v>96</v>
      </c>
      <c r="B5" s="11">
        <v>46123</v>
      </c>
      <c r="C5" s="11">
        <v>46129</v>
      </c>
      <c r="D5" s="12" t="s">
        <v>66</v>
      </c>
      <c r="E5" s="12" t="s">
        <v>97</v>
      </c>
      <c r="F5" s="13">
        <v>16.88</v>
      </c>
      <c r="G5" s="13">
        <v>4</v>
      </c>
      <c r="H5" s="13">
        <v>7.5</v>
      </c>
      <c r="I5" s="12" t="s">
        <v>98</v>
      </c>
    </row>
    <row r="6" spans="1:9" ht="28.8" x14ac:dyDescent="0.3">
      <c r="A6" s="12" t="s">
        <v>99</v>
      </c>
      <c r="B6" s="11">
        <v>46130</v>
      </c>
      <c r="C6" s="11">
        <v>46136</v>
      </c>
      <c r="D6" s="12" t="s">
        <v>66</v>
      </c>
      <c r="E6" s="12" t="s">
        <v>100</v>
      </c>
      <c r="F6" s="13">
        <v>16.88</v>
      </c>
      <c r="G6" s="13">
        <v>3.5</v>
      </c>
      <c r="H6" s="13">
        <v>11</v>
      </c>
      <c r="I6" s="12" t="s">
        <v>101</v>
      </c>
    </row>
    <row r="7" spans="1:9" ht="28.8" x14ac:dyDescent="0.3">
      <c r="A7" s="12" t="s">
        <v>102</v>
      </c>
      <c r="B7" s="11">
        <v>46137</v>
      </c>
      <c r="C7" s="11">
        <v>46143</v>
      </c>
      <c r="D7" s="12" t="s">
        <v>66</v>
      </c>
      <c r="E7" s="12" t="s">
        <v>103</v>
      </c>
      <c r="F7" s="13">
        <v>16.88</v>
      </c>
      <c r="G7" s="13">
        <v>5</v>
      </c>
      <c r="H7" s="13">
        <v>16</v>
      </c>
      <c r="I7" s="12" t="s">
        <v>104</v>
      </c>
    </row>
    <row r="8" spans="1:9" ht="28.8" x14ac:dyDescent="0.3">
      <c r="A8" s="12" t="s">
        <v>105</v>
      </c>
      <c r="B8" s="11">
        <v>46144</v>
      </c>
      <c r="C8" s="11">
        <v>46150</v>
      </c>
      <c r="D8" s="12" t="s">
        <v>70</v>
      </c>
      <c r="E8" s="12" t="s">
        <v>106</v>
      </c>
      <c r="F8" s="13">
        <v>16.88</v>
      </c>
      <c r="G8" s="13">
        <v>12</v>
      </c>
      <c r="H8" s="13">
        <v>28</v>
      </c>
      <c r="I8" s="12" t="s">
        <v>107</v>
      </c>
    </row>
    <row r="9" spans="1:9" ht="28.8" x14ac:dyDescent="0.3">
      <c r="A9" s="12" t="s">
        <v>108</v>
      </c>
      <c r="B9" s="11">
        <v>46151</v>
      </c>
      <c r="C9" s="11">
        <v>46157</v>
      </c>
      <c r="D9" s="12" t="s">
        <v>70</v>
      </c>
      <c r="E9" s="12" t="s">
        <v>109</v>
      </c>
      <c r="F9" s="13">
        <v>16.88</v>
      </c>
      <c r="G9" s="13">
        <v>19</v>
      </c>
      <c r="H9" s="13">
        <v>47</v>
      </c>
      <c r="I9" s="12" t="s">
        <v>110</v>
      </c>
    </row>
    <row r="10" spans="1:9" ht="28.8" x14ac:dyDescent="0.3">
      <c r="A10" s="12" t="s">
        <v>111</v>
      </c>
      <c r="B10" s="11">
        <v>46158</v>
      </c>
      <c r="C10" s="11">
        <v>46164</v>
      </c>
      <c r="D10" s="12" t="s">
        <v>70</v>
      </c>
      <c r="E10" s="12" t="s">
        <v>112</v>
      </c>
      <c r="F10" s="13">
        <v>16.88</v>
      </c>
      <c r="G10" s="13">
        <v>22</v>
      </c>
      <c r="H10" s="13">
        <v>69</v>
      </c>
      <c r="I10" s="12" t="s">
        <v>113</v>
      </c>
    </row>
    <row r="11" spans="1:9" ht="28.8" x14ac:dyDescent="0.3">
      <c r="A11" s="12" t="s">
        <v>114</v>
      </c>
      <c r="B11" s="11">
        <v>46165</v>
      </c>
      <c r="C11" s="11">
        <v>46171</v>
      </c>
      <c r="D11" s="12" t="s">
        <v>70</v>
      </c>
      <c r="E11" s="12" t="s">
        <v>115</v>
      </c>
      <c r="F11" s="13">
        <v>16.88</v>
      </c>
      <c r="G11" s="13">
        <v>21</v>
      </c>
      <c r="H11" s="13">
        <v>90</v>
      </c>
      <c r="I11" s="12" t="s">
        <v>116</v>
      </c>
    </row>
    <row r="12" spans="1:9" ht="28.8" x14ac:dyDescent="0.3">
      <c r="A12" s="12" t="s">
        <v>117</v>
      </c>
      <c r="B12" s="11">
        <v>46172</v>
      </c>
      <c r="C12" s="11">
        <v>46178</v>
      </c>
      <c r="D12" s="12" t="s">
        <v>74</v>
      </c>
      <c r="E12" s="12" t="s">
        <v>118</v>
      </c>
      <c r="F12" s="13">
        <v>16.88</v>
      </c>
      <c r="G12" s="13">
        <v>2.5</v>
      </c>
      <c r="H12" s="13">
        <v>92.5</v>
      </c>
      <c r="I12" s="12" t="s">
        <v>163</v>
      </c>
    </row>
    <row r="13" spans="1:9" ht="43.2" x14ac:dyDescent="0.3">
      <c r="A13" s="12" t="s">
        <v>119</v>
      </c>
      <c r="B13" s="11">
        <v>46179</v>
      </c>
      <c r="C13" s="11">
        <v>46185</v>
      </c>
      <c r="D13" s="12" t="s">
        <v>74</v>
      </c>
      <c r="E13" s="12" t="s">
        <v>164</v>
      </c>
      <c r="F13" s="13">
        <v>16.88</v>
      </c>
      <c r="G13" s="13">
        <v>43</v>
      </c>
      <c r="H13" s="13">
        <v>135.5</v>
      </c>
      <c r="I13" s="12" t="s">
        <v>165</v>
      </c>
    </row>
    <row r="14" spans="1:9" ht="28.8" x14ac:dyDescent="0.3">
      <c r="A14" s="12" t="s">
        <v>120</v>
      </c>
      <c r="B14" s="11">
        <v>46186</v>
      </c>
      <c r="C14" s="11">
        <v>46192</v>
      </c>
      <c r="D14" s="12" t="s">
        <v>74</v>
      </c>
      <c r="E14" s="12" t="s">
        <v>121</v>
      </c>
      <c r="F14" s="13">
        <v>16.88</v>
      </c>
      <c r="G14" s="13">
        <v>0</v>
      </c>
      <c r="H14" s="13">
        <v>135.5</v>
      </c>
      <c r="I14" s="12"/>
    </row>
    <row r="15" spans="1:9" ht="28.8" x14ac:dyDescent="0.3">
      <c r="A15" s="12" t="s">
        <v>122</v>
      </c>
      <c r="B15" s="11">
        <v>46193</v>
      </c>
      <c r="C15" s="11">
        <v>46199</v>
      </c>
      <c r="D15" s="12" t="s">
        <v>74</v>
      </c>
      <c r="E15" s="12" t="s">
        <v>123</v>
      </c>
      <c r="F15" s="13">
        <v>16.88</v>
      </c>
      <c r="G15" s="13">
        <v>0</v>
      </c>
      <c r="H15" s="13">
        <v>135.5</v>
      </c>
      <c r="I15" s="12"/>
    </row>
    <row r="16" spans="1:9" ht="28.8" x14ac:dyDescent="0.3">
      <c r="A16" s="12" t="s">
        <v>124</v>
      </c>
      <c r="B16" s="11">
        <v>46200</v>
      </c>
      <c r="C16" s="11">
        <v>46206</v>
      </c>
      <c r="D16" s="12" t="s">
        <v>78</v>
      </c>
      <c r="E16" s="12" t="s">
        <v>125</v>
      </c>
      <c r="F16" s="13">
        <v>16.88</v>
      </c>
      <c r="G16" s="13">
        <v>0</v>
      </c>
      <c r="H16" s="13">
        <v>135.5</v>
      </c>
      <c r="I16" s="12"/>
    </row>
    <row r="17" spans="1:9" ht="28.8" x14ac:dyDescent="0.3">
      <c r="A17" s="12" t="s">
        <v>126</v>
      </c>
      <c r="B17" s="11">
        <v>46207</v>
      </c>
      <c r="C17" s="11">
        <v>46213</v>
      </c>
      <c r="D17" s="12" t="s">
        <v>78</v>
      </c>
      <c r="E17" s="12" t="s">
        <v>127</v>
      </c>
      <c r="F17" s="13">
        <v>16.88</v>
      </c>
      <c r="G17" s="13">
        <v>0</v>
      </c>
      <c r="H17" s="13">
        <v>135.5</v>
      </c>
      <c r="I17" s="12"/>
    </row>
    <row r="18" spans="1:9" ht="28.8" x14ac:dyDescent="0.3">
      <c r="A18" s="12" t="s">
        <v>128</v>
      </c>
      <c r="B18" s="11">
        <v>46214</v>
      </c>
      <c r="C18" s="11">
        <v>46220</v>
      </c>
      <c r="D18" s="12" t="s">
        <v>78</v>
      </c>
      <c r="E18" s="12" t="s">
        <v>129</v>
      </c>
      <c r="F18" s="13">
        <v>16.88</v>
      </c>
      <c r="G18" s="13">
        <v>0</v>
      </c>
      <c r="H18" s="13">
        <v>135.5</v>
      </c>
      <c r="I18" s="12"/>
    </row>
    <row r="19" spans="1:9" ht="28.8" x14ac:dyDescent="0.3">
      <c r="A19" s="12" t="s">
        <v>130</v>
      </c>
      <c r="B19" s="11">
        <v>46221</v>
      </c>
      <c r="C19" s="11">
        <v>46227</v>
      </c>
      <c r="D19" s="12" t="s">
        <v>78</v>
      </c>
      <c r="E19" s="12" t="s">
        <v>131</v>
      </c>
      <c r="F19" s="13">
        <v>16.88</v>
      </c>
      <c r="G19" s="13">
        <v>0</v>
      </c>
      <c r="H19" s="13">
        <v>135.5</v>
      </c>
      <c r="I19" s="12"/>
    </row>
  </sheetData>
  <mergeCells count="1">
    <mergeCell ref="A1:I1"/>
  </mergeCells>
  <conditionalFormatting sqref="G4:G19">
    <cfRule type="dataBar" priority="1">
      <dataBar>
        <cfvo type="min"/>
        <cfvo type="max"/>
        <color rgb="FF5B9BD5"/>
      </dataBar>
    </cfRule>
    <cfRule type="dataBar" priority="3">
      <dataBar>
        <cfvo type="min"/>
        <cfvo type="max"/>
        <color rgb="FF5B9BD5"/>
      </dataBar>
    </cfRule>
    <cfRule type="dataBar" priority="5">
      <dataBar>
        <cfvo type="min"/>
        <cfvo type="max"/>
        <color rgb="FF5B9BD5"/>
      </dataBar>
    </cfRule>
    <cfRule type="dataBar" priority="7">
      <dataBar>
        <cfvo type="min"/>
        <cfvo type="max"/>
        <color rgb="FF5B9BD5"/>
      </dataBar>
      <extLst>
        <ext xmlns:x14="http://schemas.microsoft.com/office/spreadsheetml/2009/9/main" uri="{B025F937-C7B1-47D3-B67F-A62EFF666E3E}">
          <x14:id>{C42FD388-ACD4-DB65-6A87-37A26DD067EA}</x14:id>
        </ext>
      </extLst>
    </cfRule>
  </conditionalFormatting>
  <conditionalFormatting sqref="H4:H19">
    <cfRule type="dataBar" priority="2">
      <dataBar>
        <cfvo type="min"/>
        <cfvo type="max"/>
        <color rgb="FF70AD47"/>
      </dataBar>
    </cfRule>
    <cfRule type="dataBar" priority="4">
      <dataBar>
        <cfvo type="min"/>
        <cfvo type="max"/>
        <color rgb="FF70AD47"/>
      </dataBar>
    </cfRule>
    <cfRule type="dataBar" priority="6">
      <dataBar>
        <cfvo type="min"/>
        <cfvo type="max"/>
        <color rgb="FF70AD47"/>
      </dataBar>
    </cfRule>
    <cfRule type="dataBar" priority="8">
      <dataBar>
        <cfvo type="min"/>
        <cfvo type="max"/>
        <color rgb="FF70AD47"/>
      </dataBar>
      <extLst>
        <ext xmlns:x14="http://schemas.microsoft.com/office/spreadsheetml/2009/9/main" uri="{B025F937-C7B1-47D3-B67F-A62EFF666E3E}">
          <x14:id>{4BB9692E-A755-3C33-6AB1-CE483DD172EA}</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42FD388-ACD4-DB65-6A87-37A26DD067EA}">
            <x14:dataBar>
              <x14:cfvo type="min"/>
              <x14:cfvo type="max"/>
              <x14:negativeFillColor auto="1"/>
              <x14:axisColor auto="1"/>
            </x14:dataBar>
          </x14:cfRule>
          <xm:sqref>G4:G19</xm:sqref>
        </x14:conditionalFormatting>
        <x14:conditionalFormatting xmlns:xm="http://schemas.microsoft.com/office/excel/2006/main">
          <x14:cfRule type="dataBar" id="{4BB9692E-A755-3C33-6AB1-CE483DD172EA}">
            <x14:dataBar>
              <x14:cfvo type="min"/>
              <x14:cfvo type="max"/>
              <x14:negativeFillColor auto="1"/>
              <x14:axisColor auto="1"/>
            </x14:dataBar>
          </x14:cfRule>
          <xm:sqref>H4:H19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4.4" x14ac:dyDescent="0.3"/>
  <cols>
    <col min="1" max="1" width="34" customWidth="1"/>
    <col min="2" max="2" width="72" customWidth="1"/>
    <col min="3" max="3" width="48" customWidth="1"/>
    <col min="4" max="4" width="55" customWidth="1"/>
    <col min="5" max="5" width="18" customWidth="1"/>
  </cols>
  <sheetData>
    <row r="1" spans="1:5" ht="14.25" customHeight="1" x14ac:dyDescent="0.3">
      <c r="A1" s="19" t="s">
        <v>132</v>
      </c>
      <c r="B1" s="19"/>
      <c r="C1" s="19"/>
      <c r="D1" s="19"/>
      <c r="E1" s="19"/>
    </row>
    <row r="3" spans="1:5" ht="16.350000000000001" customHeight="1" x14ac:dyDescent="0.3">
      <c r="A3" s="9" t="s">
        <v>133</v>
      </c>
      <c r="B3" s="9" t="s">
        <v>134</v>
      </c>
      <c r="C3" s="9" t="s">
        <v>135</v>
      </c>
      <c r="D3" s="9" t="s">
        <v>136</v>
      </c>
      <c r="E3" s="9" t="s">
        <v>65</v>
      </c>
    </row>
    <row r="4" spans="1:5" ht="40.950000000000003" customHeight="1" x14ac:dyDescent="0.3">
      <c r="A4" s="12" t="s">
        <v>137</v>
      </c>
      <c r="B4" s="12" t="s">
        <v>138</v>
      </c>
      <c r="C4" s="12" t="s">
        <v>139</v>
      </c>
      <c r="D4" s="12" t="s">
        <v>140</v>
      </c>
      <c r="E4" s="12" t="s">
        <v>141</v>
      </c>
    </row>
    <row r="5" spans="1:5" ht="40.950000000000003" customHeight="1" x14ac:dyDescent="0.3">
      <c r="A5" s="12" t="s">
        <v>142</v>
      </c>
      <c r="B5" s="12" t="s">
        <v>143</v>
      </c>
      <c r="C5" s="12" t="s">
        <v>144</v>
      </c>
      <c r="D5" s="12" t="s">
        <v>145</v>
      </c>
      <c r="E5" s="12" t="s">
        <v>141</v>
      </c>
    </row>
    <row r="6" spans="1:5" ht="40.950000000000003" customHeight="1" x14ac:dyDescent="0.3">
      <c r="A6" s="12" t="s">
        <v>146</v>
      </c>
      <c r="B6" s="12" t="s">
        <v>147</v>
      </c>
      <c r="C6" s="12" t="s">
        <v>148</v>
      </c>
      <c r="D6" s="12" t="s">
        <v>145</v>
      </c>
      <c r="E6" s="12" t="s">
        <v>141</v>
      </c>
    </row>
    <row r="7" spans="1:5" ht="40.950000000000003" customHeight="1" x14ac:dyDescent="0.3">
      <c r="A7" s="12" t="s">
        <v>149</v>
      </c>
      <c r="B7" s="12" t="s">
        <v>150</v>
      </c>
      <c r="C7" s="12" t="s">
        <v>151</v>
      </c>
      <c r="D7" s="12" t="s">
        <v>152</v>
      </c>
      <c r="E7" s="12" t="s">
        <v>153</v>
      </c>
    </row>
    <row r="8" spans="1:5" x14ac:dyDescent="0.3">
      <c r="A8" t="s">
        <v>166</v>
      </c>
      <c r="B8" t="s">
        <v>167</v>
      </c>
      <c r="C8" t="s">
        <v>168</v>
      </c>
      <c r="D8" t="s">
        <v>169</v>
      </c>
      <c r="E8" t="s">
        <v>141</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Hours Log</vt:lpstr>
      <vt:lpstr>Milestone Summary</vt:lpstr>
      <vt:lpstr>Week Planner</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Shibbir Talukder Turag</cp:lastModifiedBy>
  <dcterms:modified xsi:type="dcterms:W3CDTF">2026-06-17T01:43:21Z</dcterms:modified>
</cp:coreProperties>
</file>